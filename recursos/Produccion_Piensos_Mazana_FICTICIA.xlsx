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e0cbf3695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92807c771de4c9a"/>
    <x:sheet xmlns:r="http://schemas.openxmlformats.org/officeDocument/2006/relationships" name="Escenario" sheetId="2" r:id="R93e6977ad6e24d13"/>
    <x:sheet xmlns:r="http://schemas.openxmlformats.org/officeDocument/2006/relationships" name="Produccion" sheetId="3" r:id="R7369b8371612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-yy"/>
    <x:numFmt numFmtId="201" formatCode="#,##0;(#,##0);&quot;-&quot;"/>
    <x:numFmt numFmtId="202" formatCode="#,##0.00;(#,##0.00);&quot;-&quot;"/>
    <x:numFmt numFmtId="203" formatCode="0.0%"/>
    <x:numFmt numFmtId="204" formatCode="0.0&quot; pp&quot;"/>
  </x:numFmts>
  <x:fonts count="9">
    <x:font>
      <x:sz val="11"/>
      <x:name val="Carlito"/>
    </x:font>
    <x:font>
      <x:sz val="10"/>
      <x:color rgb="FF202020"/>
      <x:name val="Arial"/>
    </x:font>
    <x:font>
      <x:b/>
      <x:sz val="16"/>
      <x:color rgb="FFCB001B"/>
      <x:name val="Arial"/>
    </x:font>
    <x:font>
      <x:i/>
      <x:sz val="10"/>
      <x:color rgb="FF6D6966"/>
      <x:name val="Arial"/>
    </x:font>
    <x:font>
      <x:b/>
      <x:sz val="10"/>
      <x:color rgb="FFFFFFFF"/>
      <x:name val="Arial"/>
    </x:font>
    <x:font>
      <x:sz val="10"/>
      <x:color rgb="FF2457A7"/>
      <x:name val="Arial"/>
    </x:font>
    <x:font>
      <x:b/>
      <x:sz val="10"/>
      <x:color rgb="FF202020"/>
      <x:name val="Arial"/>
    </x:font>
    <x:font>
      <x:b/>
      <x:sz val="10"/>
      <x:color rgb="FF2457A7"/>
      <x:name val="Arial"/>
    </x:font>
    <x:font>
      <x:sz val="10"/>
      <x:color rgb="FF2670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2020"/>
      </x:patternFill>
    </x:fill>
    <x:fill>
      <x:patternFill patternType="solid">
        <x:fgColor rgb="FFF4F2EF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CB001B"/>
      </x:font>
      <x:fill>
        <x:patternFill patternType="solid">
          <x:bgColor rgb="FFFAE9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81966eb7640f9" /><Relationship Type="http://schemas.openxmlformats.org/officeDocument/2006/relationships/theme" Target="/xl/theme/theme1.xml" Id="R970317886d4f4680" /><Relationship Type="http://schemas.openxmlformats.org/officeDocument/2006/relationships/sharedStrings" Target="/xl/sharedStrings.xml" Id="Rc694a154266142f9" /><Relationship Type="http://schemas.openxmlformats.org/officeDocument/2006/relationships/worksheet" Target="/xl/worksheets/sheet1.xml" Id="Rd92807c771de4c9a" /><Relationship Type="http://schemas.openxmlformats.org/officeDocument/2006/relationships/worksheet" Target="/xl/worksheets/sheet2.xml" Id="R93e6977ad6e24d13" /><Relationship Type="http://schemas.openxmlformats.org/officeDocument/2006/relationships/worksheet" Target="/xl/worksheets/sheet3.xml" Id="R7369b83716124b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8cd338a98b45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Coste variable mensual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Coste presupuesto (€)</c:v>
          </c:tx>
          <c:spPr>
            <a:ln xmlns:a="http://schemas.openxmlformats.org/drawingml/2006/main" w="19050">
              <a:solidFill>
                <a:srgbClr val="6D6966"/>
              </a:solidFill>
              <a:prstDash val="dash"/>
            </a:ln>
          </c:spPr>
          <c:marker>
            <c:symbol val="none"/>
          </c:marker>
          <c:cat>
            <c:strRef>
              <c:f>'Resumen'!$B$19:$B$27</c:f>
              <c:strCache>
                <c:ptCount val="0"/>
              </c:strCache>
            </c:strRef>
          </c:cat>
          <c:val>
            <c:numRef>
              <c:f>'Resumen'!$C$19:$C$27</c:f>
              <c:numCache>
                <c:formatCode>#,##0;(#,##0);"-"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Coste real (€)</c:v>
          </c:tx>
          <c:spPr>
            <a:ln xmlns:a="http://schemas.openxmlformats.org/drawingml/2006/main" w="19050">
              <a:solidFill>
                <a:srgbClr val="CB001B"/>
              </a:solidFill>
              <a:prstDash val="solid"/>
            </a:ln>
          </c:spPr>
          <c:marker>
            <c:symbol val="none"/>
          </c:marker>
          <c:cat>
            <c:strRef>
              <c:f>'Resumen'!$B$19:$B$27</c:f>
              <c:strCache>
                <c:ptCount val="0"/>
              </c:strCache>
            </c:strRef>
          </c:cat>
          <c:val>
            <c:numRef>
              <c:f>'Resumen'!$D$19:$D$27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8cd338a98b45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cionFicticia" displayName="ProduccionFicticia" ref="A5:L77" headerRowCount="1" totalsRowCount="0" totalsRowShown="0">
  <x:tableColumns count="12">
    <x:tableColumn id="1" name="Registro"/>
    <x:tableColumn id="2" name="Mes"/>
    <x:tableColumn id="3" name="Familia"/>
    <x:tableColumn id="4" name="Tipo"/>
    <x:tableColumn id="5" name="Volumen (t)"/>
    <x:tableColumn id="6" name="Materias primas (€/t)"/>
    <x:tableColumn id="7" name="Fabricacion (€/t)"/>
    <x:tableColumn id="8" name="Transporte (€/t)"/>
    <x:tableColumn id="9" name="Venta (€/t)"/>
    <x:tableColumn id="10" name="Ventas (€)"/>
    <x:tableColumn id="11" name="Coste variable (€)"/>
    <x:tableColumn id="12" name="Margen contrib. (€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2e2df2bb0245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0296547deba469e" /></Relationships>
</file>

<file path=xl/worksheets/sheet1.xml><?xml version="1.0" encoding="utf-8"?>
<x:worksheet xmlns:x="http://schemas.openxmlformats.org/spreadsheetml/2006/main">
  <x:sheetPr>
    <x:tabColor rgb="FFCB001B"/>
  </x:sheetPr>
  <x:sheetViews>
    <x:sheetView showGridLines="0" workbookViewId="0"/>
  </x:sheetViews>
  <x:sheetFormatPr defaultRowHeight="15"/>
  <x:cols>
    <x:col min="2" max="2" width="2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3" t="str">
        <x:v>Presupuesto y real de produccion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4" t="str">
        <x:v>Muestra ficticia. Enero-septiembre 2026. Importes en euros y volumen en toneladas.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2" customHeight="1">
      <x:c r="A6" s="2"/>
      <x:c r="B6" s="8" t="str">
        <x:v>Metrica</x:v>
      </x:c>
      <x:c r="C6" s="8" t="str">
        <x:v>Presupuesto</x:v>
      </x:c>
      <x:c r="D6" s="8" t="str">
        <x:v>Real</x:v>
      </x:c>
      <x:c r="E6" s="8" t="str">
        <x:v>Variacion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3" customHeight="1">
      <x:c r="A7" s="2"/>
      <x:c r="B7" s="2" t="str">
        <x:v>Volumen (t)</x:v>
      </x:c>
      <x:c r="C7" s="10" t="n">
        <x:f>SUMIFS(Produccion!$E$6:$E$77,Produccion!$D$6:$D$77,"Presupuesto")</x:f>
        <x:v>33303</x:v>
      </x:c>
      <x:c r="D7" s="10" t="n">
        <x:f>SUMIFS(Produccion!$E$6:$E$77,Produccion!$D$6:$D$77,"Real")</x:f>
        <x:v>33931</x:v>
      </x:c>
      <x:c r="E7" s="10" t="n">
        <x:f>D7-C7</x:f>
        <x:v>628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/>
      <x:c r="B8" s="2" t="str">
        <x:v>Ventas (€)</x:v>
      </x:c>
      <x:c r="C8" s="10" t="n">
        <x:f>SUMIFS(Produccion!$J$6:$J$77,Produccion!$D$6:$D$77,"Presupuesto")</x:f>
        <x:v>11681312</x:v>
      </x:c>
      <x:c r="D8" s="10" t="n">
        <x:f>SUMIFS(Produccion!$J$6:$J$77,Produccion!$D$6:$D$77,"Real")</x:f>
        <x:v>11898097.659999998</x:v>
      </x:c>
      <x:c r="E8" s="10" t="n">
        <x:f>D8-C8</x:f>
        <x:v>216785.6599999983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/>
      <x:c r="B9" s="2" t="str">
        <x:v>Coste variable (€)</x:v>
      </x:c>
      <x:c r="C9" s="10" t="n">
        <x:f>SUMIFS(Produccion!$K$6:$K$77,Produccion!$D$6:$D$77,"Presupuesto")</x:f>
        <x:v>10162937</x:v>
      </x:c>
      <x:c r="D9" s="10" t="n">
        <x:f>SUMIFS(Produccion!$K$6:$K$77,Produccion!$D$6:$D$77,"Real")</x:f>
        <x:v>10773200.959999997</x:v>
      </x:c>
      <x:c r="E9" s="10" t="n">
        <x:f>D9-C9</x:f>
        <x:v>610263.9599999972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18" t="str">
        <x:v>Margen contrib. (€)</x:v>
      </x:c>
      <x:c r="C10" s="19" t="n">
        <x:f>SUMIFS(Produccion!$L$6:$L$77,Produccion!$D$6:$D$77,"Presupuesto")</x:f>
        <x:v>1518375</x:v>
      </x:c>
      <x:c r="D10" s="19" t="n">
        <x:f>SUMIFS(Produccion!$L$6:$L$77,Produccion!$D$6:$D$77,"Real")</x:f>
        <x:v>1124896.7000000002</x:v>
      </x:c>
      <x:c r="E10" s="19" t="n">
        <x:f>D10-C10</x:f>
        <x:v>-393478.2999999998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2" t="str">
        <x:v>Margen / ventas</x:v>
      </x:c>
      <x:c r="C11" s="14" t="n">
        <x:f>IF(C8=0,"n.a.",C10/C8)</x:f>
        <x:v>0.12998325872984132</x:v>
      </x:c>
      <x:c r="D11" s="14" t="n">
        <x:f>IF(D8=0,"n.a.",D10/D8)</x:f>
        <x:v>0.09454424834499134</x:v>
      </x:c>
      <x:c r="E11" s="15" t="n">
        <x:f>(D11-C11)*100</x:f>
        <x:v>-3.543901038484998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/>
      <x:c r="B12" s="2" t="str">
        <x:v>Coste variable (€/t)</x:v>
      </x:c>
      <x:c r="C12" s="11" t="n">
        <x:f>IF(C7=0,"n.a.",C9/C7)</x:f>
        <x:v>305.165810887908</x:v>
      </x:c>
      <x:c r="D12" s="11" t="n">
        <x:f>IF(D7=0,"n.a.",D9/D7)</x:f>
        <x:v>317.5031964869882</x:v>
      </x:c>
      <x:c r="E12" s="11" t="n">
        <x:f>D12-C12</x:f>
        <x:v>12.337385599080221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4" t="str">
        <x:v>El margen excluye costes fijos, existencias, financiacion e impuestos. No es beneficio neto.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42" customHeight="1">
      <x:c r="A18" s="2"/>
      <x:c r="B18" s="8" t="str">
        <x:v>Mes</x:v>
      </x:c>
      <x:c r="C18" s="8" t="str">
        <x:v>Coste presupuesto (€)</x:v>
      </x:c>
      <x:c r="D18" s="8" t="str">
        <x:v>Coste real (€)</x:v>
      </x:c>
      <x:c r="E18" s="8" t="str">
        <x:v>Desviacion (€)</x:v>
      </x:c>
      <x:c r="F18" s="8" t="str">
        <x:v>Volumen real (t)</x:v>
      </x:c>
      <x:c r="G18" s="8" t="str">
        <x:v>Margen real (€)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2" t="str">
        <x:v>ene-26</x:v>
      </x:c>
      <x:c r="C19" s="10" t="n">
        <x:f>SUMIFS(Produccion!$K$6:$K$77,Produccion!$D$6:$D$77,"Presupuesto",Produccion!$B$6:$B$77,DATE(2026,1,1))</x:f>
        <x:v>983618</x:v>
      </x:c>
      <x:c r="D19" s="10" t="n">
        <x:f>SUMIFS(Produccion!$K$6:$K$77,Produccion!$D$6:$D$77,"Real",Produccion!$B$6:$B$77,DATE(2026,1,1))</x:f>
        <x:v>1040252.4400000002</x:v>
      </x:c>
      <x:c r="E19" s="10" t="n">
        <x:f>D19-C19</x:f>
        <x:v>56634.44000000018</x:v>
      </x:c>
      <x:c r="F19" s="10" t="n">
        <x:f>SUMIFS(Produccion!$E$6:$E$77,Produccion!$D$6:$D$77,"Real",Produccion!$B$6:$B$77,DATE(2026,1,1))</x:f>
        <x:v>3385</x:v>
      </x:c>
      <x:c r="G19" s="10" t="n">
        <x:f>SUMIFS(Produccion!$L$6:$L$77,Produccion!$D$6:$D$77,"Real",Produccion!$B$6:$B$77,DATE(2026,1,1))</x:f>
        <x:v>128277.30999999988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/>
      <x:c r="B20" s="2" t="str">
        <x:v>feb-26</x:v>
      </x:c>
      <x:c r="C20" s="10" t="n">
        <x:f>SUMIFS(Produccion!$K$6:$K$77,Produccion!$D$6:$D$77,"Presupuesto",Produccion!$B$6:$B$77,DATE(2026,2,1))</x:f>
        <x:v>1022883</x:v>
      </x:c>
      <x:c r="D20" s="10" t="n">
        <x:f>SUMIFS(Produccion!$K$6:$K$77,Produccion!$D$6:$D$77,"Real",Produccion!$B$6:$B$77,DATE(2026,2,1))</x:f>
        <x:v>1110191.02</x:v>
      </x:c>
      <x:c r="E20" s="10" t="n">
        <x:f>D20-C20</x:f>
        <x:v>87308.02000000002</x:v>
      </x:c>
      <x:c r="F20" s="10" t="n">
        <x:f>SUMIFS(Produccion!$E$6:$E$77,Produccion!$D$6:$D$77,"Real",Produccion!$B$6:$B$77,DATE(2026,2,1))</x:f>
        <x:v>3554</x:v>
      </x:c>
      <x:c r="G20" s="10" t="n">
        <x:f>SUMIFS(Produccion!$L$6:$L$77,Produccion!$D$6:$D$77,"Real",Produccion!$B$6:$B$77,DATE(2026,2,1))</x:f>
        <x:v>129168.25999999998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/>
      <x:c r="B21" s="2" t="str">
        <x:v>mar-26</x:v>
      </x:c>
      <x:c r="C21" s="10" t="n">
        <x:f>SUMIFS(Produccion!$K$6:$K$77,Produccion!$D$6:$D$77,"Presupuesto",Produccion!$B$6:$B$77,DATE(2026,3,1))</x:f>
        <x:v>1105221</x:v>
      </x:c>
      <x:c r="D21" s="10" t="n">
        <x:f>SUMIFS(Produccion!$K$6:$K$77,Produccion!$D$6:$D$77,"Real",Produccion!$B$6:$B$77,DATE(2026,3,1))</x:f>
        <x:v>1160142.52</x:v>
      </x:c>
      <x:c r="E21" s="10" t="n">
        <x:f>D21-C21</x:f>
        <x:v>54921.52000000002</x:v>
      </x:c>
      <x:c r="F21" s="10" t="n">
        <x:f>SUMIFS(Produccion!$E$6:$E$77,Produccion!$D$6:$D$77,"Real",Produccion!$B$6:$B$77,DATE(2026,3,1))</x:f>
        <x:v>3690</x:v>
      </x:c>
      <x:c r="G21" s="10" t="n">
        <x:f>SUMIFS(Produccion!$L$6:$L$77,Produccion!$D$6:$D$77,"Real",Produccion!$B$6:$B$77,DATE(2026,3,1))</x:f>
        <x:v>126419.54000000001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/>
      <x:c r="B22" s="2" t="str">
        <x:v>abr-26</x:v>
      </x:c>
      <x:c r="C22" s="10" t="n">
        <x:f>SUMIFS(Produccion!$K$6:$K$77,Produccion!$D$6:$D$77,"Presupuesto",Produccion!$B$6:$B$77,DATE(2026,4,1))</x:f>
        <x:v>1145642</x:v>
      </x:c>
      <x:c r="D22" s="10" t="n">
        <x:f>SUMIFS(Produccion!$K$6:$K$77,Produccion!$D$6:$D$77,"Real",Produccion!$B$6:$B$77,DATE(2026,4,1))</x:f>
        <x:v>1202870.35</x:v>
      </x:c>
      <x:c r="E22" s="10" t="n">
        <x:f>D22-C22</x:f>
        <x:v>57228.35000000009</x:v>
      </x:c>
      <x:c r="F22" s="10" t="n">
        <x:f>SUMIFS(Produccion!$E$6:$E$77,Produccion!$D$6:$D$77,"Real",Produccion!$B$6:$B$77,DATE(2026,4,1))</x:f>
        <x:v>3838</x:v>
      </x:c>
      <x:c r="G22" s="10" t="n">
        <x:f>SUMIFS(Produccion!$L$6:$L$77,Produccion!$D$6:$D$77,"Real",Produccion!$B$6:$B$77,DATE(2026,4,1))</x:f>
        <x:v>137394.95000000004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 t="str">
        <x:v>may-26</x:v>
      </x:c>
      <x:c r="C23" s="10" t="n">
        <x:f>SUMIFS(Produccion!$K$6:$K$77,Produccion!$D$6:$D$77,"Presupuesto",Produccion!$B$6:$B$77,DATE(2026,5,1))</x:f>
        <x:v>1185786</x:v>
      </x:c>
      <x:c r="D23" s="10" t="n">
        <x:f>SUMIFS(Produccion!$K$6:$K$77,Produccion!$D$6:$D$77,"Real",Produccion!$B$6:$B$77,DATE(2026,5,1))</x:f>
        <x:v>1248737.6</x:v>
      </x:c>
      <x:c r="E23" s="10" t="n">
        <x:f>D23-C23</x:f>
        <x:v>62951.60000000009</x:v>
      </x:c>
      <x:c r="F23" s="10" t="n">
        <x:f>SUMIFS(Produccion!$E$6:$E$77,Produccion!$D$6:$D$77,"Real",Produccion!$B$6:$B$77,DATE(2026,5,1))</x:f>
        <x:v>3921</x:v>
      </x:c>
      <x:c r="G23" s="10" t="n">
        <x:f>SUMIFS(Produccion!$L$6:$L$77,Produccion!$D$6:$D$77,"Real",Produccion!$B$6:$B$77,DATE(2026,5,1))</x:f>
        <x:v>131322.21999999994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/>
      <x:c r="B24" s="2" t="str">
        <x:v>jun-26</x:v>
      </x:c>
      <x:c r="C24" s="10" t="n">
        <x:f>SUMIFS(Produccion!$K$6:$K$77,Produccion!$D$6:$D$77,"Presupuesto",Produccion!$B$6:$B$77,DATE(2026,6,1))</x:f>
        <x:v>1237768</x:v>
      </x:c>
      <x:c r="D24" s="10" t="n">
        <x:f>SUMIFS(Produccion!$K$6:$K$77,Produccion!$D$6:$D$77,"Real",Produccion!$B$6:$B$77,DATE(2026,6,1))</x:f>
        <x:v>1314722.2</x:v>
      </x:c>
      <x:c r="E24" s="10" t="n">
        <x:f>D24-C24</x:f>
        <x:v>76954.19999999995</x:v>
      </x:c>
      <x:c r="F24" s="10" t="n">
        <x:f>SUMIFS(Produccion!$E$6:$E$77,Produccion!$D$6:$D$77,"Real",Produccion!$B$6:$B$77,DATE(2026,6,1))</x:f>
        <x:v>4122</x:v>
      </x:c>
      <x:c r="G24" s="10" t="n">
        <x:f>SUMIFS(Produccion!$L$6:$L$77,Produccion!$D$6:$D$77,"Real",Produccion!$B$6:$B$77,DATE(2026,6,1))</x:f>
        <x:v>128570.7000000001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 t="str">
        <x:v>jul-26</x:v>
      </x:c>
      <x:c r="C25" s="10" t="n">
        <x:f>SUMIFS(Produccion!$K$6:$K$77,Produccion!$D$6:$D$77,"Presupuesto",Produccion!$B$6:$B$77,DATE(2026,7,1))</x:f>
        <x:v>1179091</x:v>
      </x:c>
      <x:c r="D25" s="10" t="n">
        <x:f>SUMIFS(Produccion!$K$6:$K$77,Produccion!$D$6:$D$77,"Real",Produccion!$B$6:$B$77,DATE(2026,7,1))</x:f>
        <x:v>1277575.62</x:v>
      </x:c>
      <x:c r="E25" s="10" t="n">
        <x:f>D25-C25</x:f>
        <x:v>98484.62000000011</x:v>
      </x:c>
      <x:c r="F25" s="10" t="n">
        <x:f>SUMIFS(Produccion!$E$6:$E$77,Produccion!$D$6:$D$77,"Real",Produccion!$B$6:$B$77,DATE(2026,7,1))</x:f>
        <x:v>3964</x:v>
      </x:c>
      <x:c r="G25" s="10" t="n">
        <x:f>SUMIFS(Produccion!$L$6:$L$77,Produccion!$D$6:$D$77,"Real",Produccion!$B$6:$B$77,DATE(2026,7,1))</x:f>
        <x:v>119531.19000000003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 t="str">
        <x:v>ago-26</x:v>
      </x:c>
      <x:c r="C26" s="10" t="n">
        <x:f>SUMIFS(Produccion!$K$6:$K$77,Produccion!$D$6:$D$77,"Presupuesto",Produccion!$B$6:$B$77,DATE(2026,8,1))</x:f>
        <x:v>1131108</x:v>
      </x:c>
      <x:c r="D26" s="10" t="n">
        <x:f>SUMIFS(Produccion!$K$6:$K$77,Produccion!$D$6:$D$77,"Real",Produccion!$B$6:$B$77,DATE(2026,8,1))</x:f>
        <x:v>1180957.6199999999</x:v>
      </x:c>
      <x:c r="E26" s="10" t="n">
        <x:f>D26-C26</x:f>
        <x:v>49849.61999999988</x:v>
      </x:c>
      <x:c r="F26" s="10" t="n">
        <x:f>SUMIFS(Produccion!$E$6:$E$77,Produccion!$D$6:$D$77,"Real",Produccion!$B$6:$B$77,DATE(2026,8,1))</x:f>
        <x:v>3656</x:v>
      </x:c>
      <x:c r="G26" s="10" t="n">
        <x:f>SUMIFS(Produccion!$L$6:$L$77,Produccion!$D$6:$D$77,"Real",Produccion!$B$6:$B$77,DATE(2026,8,1))</x:f>
        <x:v>115419.78000000006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 t="str">
        <x:v>sep-26</x:v>
      </x:c>
      <x:c r="C27" s="10" t="n">
        <x:f>SUMIFS(Produccion!$K$6:$K$77,Produccion!$D$6:$D$77,"Presupuesto",Produccion!$B$6:$B$77,DATE(2026,9,1))</x:f>
        <x:v>1171820</x:v>
      </x:c>
      <x:c r="D27" s="10" t="n">
        <x:f>SUMIFS(Produccion!$K$6:$K$77,Produccion!$D$6:$D$77,"Real",Produccion!$B$6:$B$77,DATE(2026,9,1))</x:f>
        <x:v>1237751.59</x:v>
      </x:c>
      <x:c r="E27" s="10" t="n">
        <x:f>D27-C27</x:f>
        <x:v>65931.59000000008</x:v>
      </x:c>
      <x:c r="F27" s="10" t="n">
        <x:f>SUMIFS(Produccion!$E$6:$E$77,Produccion!$D$6:$D$77,"Real",Produccion!$B$6:$B$77,DATE(2026,9,1))</x:f>
        <x:v>3801</x:v>
      </x:c>
      <x:c r="G27" s="10" t="n">
        <x:f>SUMIFS(Produccion!$L$6:$L$77,Produccion!$D$6:$D$77,"Real",Produccion!$B$6:$B$77,DATE(2026,9,1))</x:f>
        <x:v>108792.75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conditionalFormatting sqref="E19:E27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6f2e2df2bb024564"/>
</x:worksheet>
</file>

<file path=xl/worksheets/sheet2.xml><?xml version="1.0" encoding="utf-8"?>
<x:worksheet xmlns:x="http://schemas.openxmlformats.org/spreadsheetml/2006/main">
  <x:sheetPr>
    <x:tabColor rgb="FFE9A8B5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6" hidden="0" customWidth="1"/>
    <x:col min="4" max="4" width="2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Escenario sobre el volumen real del ejercicio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 t="str">
        <x:v>Cambie B5:B7. Se conserva el real original en Produccion. Un 0 % replica su base.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2" t="str">
        <x:v>Cambio materias primas</x:v>
      </x:c>
      <x:c r="B5" s="21" t="n">
        <x:v>0</x:v>
      </x:c>
      <x:c r="C5" s="2"/>
      <x:c r="D5" s="2" t="str">
        <x:v>Ventas simuladas (€)</x:v>
      </x:c>
      <x:c r="E5" s="10" t="n">
        <x:f>IF(COUNT(B5:B7)=3,SUM(K12:K47),"Pendiente")</x:f>
        <x:v>11898097.659999998</x:v>
      </x:c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2" t="str">
        <x:v>Cambio volumen</x:v>
      </x:c>
      <x:c r="B6" s="21" t="n">
        <x:v>0</x:v>
      </x:c>
      <x:c r="C6" s="2"/>
      <x:c r="D6" s="2" t="str">
        <x:v>Coste simulado (€)</x:v>
      </x:c>
      <x:c r="E6" s="10" t="n">
        <x:f>IF(COUNT(B5:B7)=3,SUM(L12:L47),"Pendiente")</x:f>
        <x:v>10773200.959999997</x:v>
      </x:c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2" t="str">
        <x:v>Cambio precio venta</x:v>
      </x:c>
      <x:c r="B7" s="21" t="n">
        <x:v>0</x:v>
      </x:c>
      <x:c r="C7" s="2"/>
      <x:c r="D7" s="2" t="str">
        <x:v>Margen simulado (€)</x:v>
      </x:c>
      <x:c r="E7" s="10" t="n">
        <x:f>IF(COUNT(B5:B7)=3,SUM(M12:M47),"Pendiente")</x:f>
        <x:v>1124896.7000000002</x:v>
      </x:c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 t="str">
        <x:v>Parametros</x:v>
      </x:c>
      <x:c r="B8" s="2" t="str">
        <x:f>IF(COUNT(B5:B7)=3,"Completo","Pendiente")</x:f>
        <x:v>Completo</x:v>
      </x:c>
      <x:c r="C8" s="2"/>
      <x:c r="D8" s="2" t="str">
        <x:v>Margen / ventas</x:v>
      </x:c>
      <x:c r="E8" s="14" t="n">
        <x:f>IF(COUNT(B5:B7)=3,IF(E5=0,"n.a.",E7/E5),"Pendiente")</x:f>
        <x:v>0.09454424834499134</x:v>
      </x:c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4" t="str">
        <x:v>Hipotesis: cambian volumen, coste unitario de materias primas y precio de venta. Otros costes variables unitarios constantes.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42" customHeight="1">
      <x:c r="A11" s="8" t="str">
        <x:v>Registro real</x:v>
      </x:c>
      <x:c r="B11" s="8" t="str">
        <x:v>Mes</x:v>
      </x:c>
      <x:c r="C11" s="8" t="str">
        <x:v>Familia</x:v>
      </x:c>
      <x:c r="D11" s="8" t="str">
        <x:v>Volumen base (t)</x:v>
      </x:c>
      <x:c r="E11" s="8" t="str">
        <x:v>Volumen sim. (t)</x:v>
      </x:c>
      <x:c r="F11" s="8" t="str">
        <x:v>MP base (€/t)</x:v>
      </x:c>
      <x:c r="G11" s="8" t="str">
        <x:v>MP sim. (€/t)</x:v>
      </x:c>
      <x:c r="H11" s="8" t="str">
        <x:v>Otros costes (€/t)</x:v>
      </x:c>
      <x:c r="I11" s="8" t="str">
        <x:v>Venta base (€/t)</x:v>
      </x:c>
      <x:c r="J11" s="8" t="str">
        <x:v>Venta sim. (€/t)</x:v>
      </x:c>
      <x:c r="K11" s="8" t="str">
        <x:v>Ventas sim. (€)</x:v>
      </x:c>
      <x:c r="L11" s="8" t="str">
        <x:v>Coste sim. (€)</x:v>
      </x:c>
      <x:c r="M11" s="8" t="str">
        <x:v>Margen sim. (€)</x:v>
      </x:c>
    </x:row>
    <x:row r="12" ht="23" customHeight="1">
      <x:c r="A12" s="22" t="str">
        <x:f>Produccion!A7</x:f>
        <x:v>PR001R</x:v>
      </x:c>
      <x:c r="B12" s="23" t="n">
        <x:f>Produccion!B7</x:f>
        <x:v>46023</x:v>
      </x:c>
      <x:c r="C12" s="22" t="str">
        <x:f>Produccion!C7</x:f>
        <x:v>Transicion</x:v>
      </x:c>
      <x:c r="D12" s="24" t="n">
        <x:f>Produccion!E7</x:f>
        <x:v>397</x:v>
      </x:c>
      <x:c r="E12" s="11" t="n">
        <x:f>IF(COUNT($B$5:$B$7)=3,D12*(1+$B$6),"")</x:f>
        <x:v>397</x:v>
      </x:c>
      <x:c r="F12" s="24" t="n">
        <x:f>Produccion!F7</x:f>
        <x:v>336.6</x:v>
      </x:c>
      <x:c r="G12" s="11" t="n">
        <x:f>IF(COUNT($B$5:$B$7)=3,F12*(1+$B$5),"")</x:f>
        <x:v>336.6</x:v>
      </x:c>
      <x:c r="H12" s="24" t="n">
        <x:f>SUM(Produccion!G7:H7)</x:f>
        <x:v>48</x:v>
      </x:c>
      <x:c r="I12" s="24" t="n">
        <x:f>Produccion!I7</x:f>
        <x:v>420.75</x:v>
      </x:c>
      <x:c r="J12" s="11" t="n">
        <x:f>IF(COUNT($B$5:$B$7)=3,I12*(1+$B$7),"")</x:f>
        <x:v>420.75</x:v>
      </x:c>
      <x:c r="K12" s="11" t="n">
        <x:f>IF(COUNT($B$5:$B$7)=3,E12*J12,"")</x:f>
        <x:v>167037.75</x:v>
      </x:c>
      <x:c r="L12" s="11" t="n">
        <x:f>IF(COUNT($B$5:$B$7)=3,E12*(G12+H12),"")</x:f>
        <x:v>152686.2</x:v>
      </x:c>
      <x:c r="M12" s="11" t="n">
        <x:f>IF(COUNT($B$5:$B$7)=3,K12-L12,"")</x:f>
        <x:v>14351.549999999988</x:v>
      </x:c>
    </x:row>
    <x:row r="13" ht="23" customHeight="1">
      <x:c r="A13" s="22" t="str">
        <x:f>Produccion!A9</x:f>
        <x:v>PR002R</x:v>
      </x:c>
      <x:c r="B13" s="23" t="n">
        <x:f>Produccion!B9</x:f>
        <x:v>46023</x:v>
      </x:c>
      <x:c r="C13" s="22" t="str">
        <x:f>Produccion!C9</x:f>
        <x:v>Cebo</x:v>
      </x:c>
      <x:c r="D13" s="24" t="n">
        <x:f>Produccion!E9</x:f>
        <x:v>1516</x:v>
      </x:c>
      <x:c r="E13" s="11" t="n">
        <x:f>IF(COUNT($B$5:$B$7)=3,D13*(1+$B$6),"")</x:f>
        <x:v>1516</x:v>
      </x:c>
      <x:c r="F13" s="24" t="n">
        <x:f>Produccion!F9</x:f>
        <x:v>252.84</x:v>
      </x:c>
      <x:c r="G13" s="11" t="n">
        <x:f>IF(COUNT($B$5:$B$7)=3,F13*(1+$B$5),"")</x:f>
        <x:v>252.84</x:v>
      </x:c>
      <x:c r="H13" s="24" t="n">
        <x:f>SUM(Produccion!G9:H9)</x:f>
        <x:v>38</x:v>
      </x:c>
      <x:c r="I13" s="24" t="n">
        <x:f>Produccion!I9</x:f>
        <x:v>335</x:v>
      </x:c>
      <x:c r="J13" s="11" t="n">
        <x:f>IF(COUNT($B$5:$B$7)=3,I13*(1+$B$7),"")</x:f>
        <x:v>335</x:v>
      </x:c>
      <x:c r="K13" s="11" t="n">
        <x:f>IF(COUNT($B$5:$B$7)=3,E13*J13,"")</x:f>
        <x:v>507860</x:v>
      </x:c>
      <x:c r="L13" s="11" t="n">
        <x:f>IF(COUNT($B$5:$B$7)=3,E13*(G13+H13),"")</x:f>
        <x:v>440913.44000000006</x:v>
      </x:c>
      <x:c r="M13" s="11" t="n">
        <x:f>IF(COUNT($B$5:$B$7)=3,K13-L13,"")</x:f>
        <x:v>66946.55999999994</x:v>
      </x:c>
    </x:row>
    <x:row r="14" ht="23" customHeight="1">
      <x:c r="A14" s="22" t="str">
        <x:f>Produccion!A11</x:f>
        <x:v>PR003R</x:v>
      </x:c>
      <x:c r="B14" s="23" t="n">
        <x:f>Produccion!B11</x:f>
        <x:v>46023</x:v>
      </x:c>
      <x:c r="C14" s="22" t="str">
        <x:f>Produccion!C11</x:f>
        <x:v>Gestacion</x:v>
      </x:c>
      <x:c r="D14" s="24" t="n">
        <x:f>Produccion!E11</x:f>
        <x:v>886</x:v>
      </x:c>
      <x:c r="E14" s="11" t="n">
        <x:f>IF(COUNT($B$5:$B$7)=3,D14*(1+$B$6),"")</x:f>
        <x:v>886</x:v>
      </x:c>
      <x:c r="F14" s="24" t="n">
        <x:f>Produccion!F11</x:f>
        <x:v>240.12</x:v>
      </x:c>
      <x:c r="G14" s="11" t="n">
        <x:f>IF(COUNT($B$5:$B$7)=3,F14*(1+$B$5),"")</x:f>
        <x:v>240.12</x:v>
      </x:c>
      <x:c r="H14" s="24" t="n">
        <x:f>SUM(Produccion!G11:H11)</x:f>
        <x:v>40</x:v>
      </x:c>
      <x:c r="I14" s="24" t="n">
        <x:f>Produccion!I11</x:f>
        <x:v>318.15</x:v>
      </x:c>
      <x:c r="J14" s="11" t="n">
        <x:f>IF(COUNT($B$5:$B$7)=3,I14*(1+$B$7),"")</x:f>
        <x:v>318.15</x:v>
      </x:c>
      <x:c r="K14" s="11" t="n">
        <x:f>IF(COUNT($B$5:$B$7)=3,E14*J14,"")</x:f>
        <x:v>281880.89999999997</x:v>
      </x:c>
      <x:c r="L14" s="11" t="n">
        <x:f>IF(COUNT($B$5:$B$7)=3,E14*(G14+H14),"")</x:f>
        <x:v>248186.32</x:v>
      </x:c>
      <x:c r="M14" s="11" t="n">
        <x:f>IF(COUNT($B$5:$B$7)=3,K14-L14,"")</x:f>
        <x:v>33694.57999999996</x:v>
      </x:c>
    </x:row>
    <x:row r="15" ht="23" customHeight="1">
      <x:c r="A15" s="22" t="str">
        <x:f>Produccion!A13</x:f>
        <x:v>PR004R</x:v>
      </x:c>
      <x:c r="B15" s="23" t="n">
        <x:f>Produccion!B13</x:f>
        <x:v>46023</x:v>
      </x:c>
      <x:c r="C15" s="22" t="str">
        <x:f>Produccion!C13</x:f>
        <x:v>Lactacion</x:v>
      </x:c>
      <x:c r="D15" s="24" t="n">
        <x:f>Produccion!E13</x:f>
        <x:v>586</x:v>
      </x:c>
      <x:c r="E15" s="11" t="n">
        <x:f>IF(COUNT($B$5:$B$7)=3,D15*(1+$B$6),"")</x:f>
        <x:v>586</x:v>
      </x:c>
      <x:c r="F15" s="24" t="n">
        <x:f>Produccion!F13</x:f>
        <x:v>295.68</x:v>
      </x:c>
      <x:c r="G15" s="11" t="n">
        <x:f>IF(COUNT($B$5:$B$7)=3,F15*(1+$B$5),"")</x:f>
        <x:v>295.68</x:v>
      </x:c>
      <x:c r="H15" s="24" t="n">
        <x:f>SUM(Produccion!G13:H13)</x:f>
        <x:v>43</x:v>
      </x:c>
      <x:c r="I15" s="24" t="n">
        <x:f>Produccion!I13</x:f>
        <x:v>361.35</x:v>
      </x:c>
      <x:c r="J15" s="11" t="n">
        <x:f>IF(COUNT($B$5:$B$7)=3,I15*(1+$B$7),"")</x:f>
        <x:v>361.35</x:v>
      </x:c>
      <x:c r="K15" s="11" t="n">
        <x:f>IF(COUNT($B$5:$B$7)=3,E15*J15,"")</x:f>
        <x:v>211751.1</x:v>
      </x:c>
      <x:c r="L15" s="11" t="n">
        <x:f>IF(COUNT($B$5:$B$7)=3,E15*(G15+H15),"")</x:f>
        <x:v>198466.48</x:v>
      </x:c>
      <x:c r="M15" s="11" t="n">
        <x:f>IF(COUNT($B$5:$B$7)=3,K15-L15,"")</x:f>
        <x:v>13284.619999999995</x:v>
      </x:c>
    </x:row>
    <x:row r="16" ht="23" customHeight="1">
      <x:c r="A16" s="22" t="str">
        <x:f>Produccion!A15</x:f>
        <x:v>PR005R</x:v>
      </x:c>
      <x:c r="B16" s="23" t="n">
        <x:f>Produccion!B15</x:f>
        <x:v>46054</x:v>
      </x:c>
      <x:c r="C16" s="22" t="str">
        <x:f>Produccion!C15</x:f>
        <x:v>Transicion</x:v>
      </x:c>
      <x:c r="D16" s="24" t="n">
        <x:f>Produccion!E15</x:f>
        <x:v>441</x:v>
      </x:c>
      <x:c r="E16" s="11" t="n">
        <x:f>IF(COUNT($B$5:$B$7)=3,D16*(1+$B$6),"")</x:f>
        <x:v>441</x:v>
      </x:c>
      <x:c r="F16" s="24" t="n">
        <x:f>Produccion!F15</x:f>
        <x:v>342.62</x:v>
      </x:c>
      <x:c r="G16" s="11" t="n">
        <x:f>IF(COUNT($B$5:$B$7)=3,F16*(1+$B$5),"")</x:f>
        <x:v>342.62</x:v>
      </x:c>
      <x:c r="H16" s="24" t="n">
        <x:f>SUM(Produccion!G15:H15)</x:f>
        <x:v>46</x:v>
      </x:c>
      <x:c r="I16" s="24" t="n">
        <x:f>Produccion!I15</x:f>
        <x:v>426</x:v>
      </x:c>
      <x:c r="J16" s="11" t="n">
        <x:f>IF(COUNT($B$5:$B$7)=3,I16*(1+$B$7),"")</x:f>
        <x:v>426</x:v>
      </x:c>
      <x:c r="K16" s="11" t="n">
        <x:f>IF(COUNT($B$5:$B$7)=3,E16*J16,"")</x:f>
        <x:v>187866</x:v>
      </x:c>
      <x:c r="L16" s="11" t="n">
        <x:f>IF(COUNT($B$5:$B$7)=3,E16*(G16+H16),"")</x:f>
        <x:v>171381.42</x:v>
      </x:c>
      <x:c r="M16" s="11" t="n">
        <x:f>IF(COUNT($B$5:$B$7)=3,K16-L16,"")</x:f>
        <x:v>16484.579999999987</x:v>
      </x:c>
    </x:row>
    <x:row r="17" ht="23" customHeight="1">
      <x:c r="A17" s="22" t="str">
        <x:f>Produccion!A17</x:f>
        <x:v>PR006R</x:v>
      </x:c>
      <x:c r="B17" s="23" t="n">
        <x:f>Produccion!B17</x:f>
        <x:v>46054</x:v>
      </x:c>
      <x:c r="C17" s="22" t="str">
        <x:f>Produccion!C17</x:f>
        <x:v>Cebo</x:v>
      </x:c>
      <x:c r="D17" s="24" t="n">
        <x:f>Produccion!E17</x:f>
        <x:v>1626</x:v>
      </x:c>
      <x:c r="E17" s="11" t="n">
        <x:f>IF(COUNT($B$5:$B$7)=3,D17*(1+$B$6),"")</x:f>
        <x:v>1626</x:v>
      </x:c>
      <x:c r="F17" s="24" t="n">
        <x:f>Produccion!F17</x:f>
        <x:v>257.87</x:v>
      </x:c>
      <x:c r="G17" s="11" t="n">
        <x:f>IF(COUNT($B$5:$B$7)=3,F17*(1+$B$5),"")</x:f>
        <x:v>257.87</x:v>
      </x:c>
      <x:c r="H17" s="24" t="n">
        <x:f>SUM(Produccion!G17:H17)</x:f>
        <x:v>43</x:v>
      </x:c>
      <x:c r="I17" s="24" t="n">
        <x:f>Produccion!I17</x:f>
        <x:v>339.36</x:v>
      </x:c>
      <x:c r="J17" s="11" t="n">
        <x:f>IF(COUNT($B$5:$B$7)=3,I17*(1+$B$7),"")</x:f>
        <x:v>339.36</x:v>
      </x:c>
      <x:c r="K17" s="11" t="n">
        <x:f>IF(COUNT($B$5:$B$7)=3,E17*J17,"")</x:f>
        <x:v>551799.36</x:v>
      </x:c>
      <x:c r="L17" s="11" t="n">
        <x:f>IF(COUNT($B$5:$B$7)=3,E17*(G17+H17),"")</x:f>
        <x:v>489214.62</x:v>
      </x:c>
      <x:c r="M17" s="11" t="n">
        <x:f>IF(COUNT($B$5:$B$7)=3,K17-L17,"")</x:f>
        <x:v>62584.73999999999</x:v>
      </x:c>
    </x:row>
    <x:row r="18" ht="23" customHeight="1">
      <x:c r="A18" s="22" t="str">
        <x:f>Produccion!A19</x:f>
        <x:v>PR007R</x:v>
      </x:c>
      <x:c r="B18" s="23" t="n">
        <x:f>Produccion!B19</x:f>
        <x:v>46054</x:v>
      </x:c>
      <x:c r="C18" s="22" t="str">
        <x:f>Produccion!C19</x:f>
        <x:v>Gestacion</x:v>
      </x:c>
      <x:c r="D18" s="24" t="n">
        <x:f>Produccion!E19</x:f>
        <x:v>838</x:v>
      </x:c>
      <x:c r="E18" s="11" t="n">
        <x:f>IF(COUNT($B$5:$B$7)=3,D18*(1+$B$6),"")</x:f>
        <x:v>838</x:v>
      </x:c>
      <x:c r="F18" s="24" t="n">
        <x:f>Produccion!F19</x:f>
        <x:v>244.99</x:v>
      </x:c>
      <x:c r="G18" s="11" t="n">
        <x:f>IF(COUNT($B$5:$B$7)=3,F18*(1+$B$5),"")</x:f>
        <x:v>244.99</x:v>
      </x:c>
      <x:c r="H18" s="24" t="n">
        <x:f>SUM(Produccion!G19:H19)</x:f>
        <x:v>37</x:v>
      </x:c>
      <x:c r="I18" s="24" t="n">
        <x:f>Produccion!I19</x:f>
        <x:v>312.84</x:v>
      </x:c>
      <x:c r="J18" s="11" t="n">
        <x:f>IF(COUNT($B$5:$B$7)=3,I18*(1+$B$7),"")</x:f>
        <x:v>312.84</x:v>
      </x:c>
      <x:c r="K18" s="11" t="n">
        <x:f>IF(COUNT($B$5:$B$7)=3,E18*J18,"")</x:f>
        <x:v>262159.92</x:v>
      </x:c>
      <x:c r="L18" s="11" t="n">
        <x:f>IF(COUNT($B$5:$B$7)=3,E18*(G18+H18),"")</x:f>
        <x:v>236307.62</x:v>
      </x:c>
      <x:c r="M18" s="11" t="n">
        <x:f>IF(COUNT($B$5:$B$7)=3,K18-L18,"")</x:f>
        <x:v>25852.29999999999</x:v>
      </x:c>
    </x:row>
    <x:row r="19" ht="23" customHeight="1">
      <x:c r="A19" s="22" t="str">
        <x:f>Produccion!A21</x:f>
        <x:v>PR008R</x:v>
      </x:c>
      <x:c r="B19" s="23" t="n">
        <x:f>Produccion!B21</x:f>
        <x:v>46054</x:v>
      </x:c>
      <x:c r="C19" s="22" t="str">
        <x:f>Produccion!C21</x:f>
        <x:v>Lactacion</x:v>
      </x:c>
      <x:c r="D19" s="24" t="n">
        <x:f>Produccion!E21</x:f>
        <x:v>649</x:v>
      </x:c>
      <x:c r="E19" s="11" t="n">
        <x:f>IF(COUNT($B$5:$B$7)=3,D19*(1+$B$6),"")</x:f>
        <x:v>649</x:v>
      </x:c>
      <x:c r="F19" s="24" t="n">
        <x:f>Produccion!F21</x:f>
        <x:v>287.64</x:v>
      </x:c>
      <x:c r="G19" s="11" t="n">
        <x:f>IF(COUNT($B$5:$B$7)=3,F19*(1+$B$5),"")</x:f>
        <x:v>287.64</x:v>
      </x:c>
      <x:c r="H19" s="24" t="n">
        <x:f>SUM(Produccion!G21:H21)</x:f>
        <x:v>41</x:v>
      </x:c>
      <x:c r="I19" s="24" t="n">
        <x:f>Produccion!I21</x:f>
        <x:v>366</x:v>
      </x:c>
      <x:c r="J19" s="11" t="n">
        <x:f>IF(COUNT($B$5:$B$7)=3,I19*(1+$B$7),"")</x:f>
        <x:v>366</x:v>
      </x:c>
      <x:c r="K19" s="11" t="n">
        <x:f>IF(COUNT($B$5:$B$7)=3,E19*J19,"")</x:f>
        <x:v>237534</x:v>
      </x:c>
      <x:c r="L19" s="11" t="n">
        <x:f>IF(COUNT($B$5:$B$7)=3,E19*(G19+H19),"")</x:f>
        <x:v>213287.36</x:v>
      </x:c>
      <x:c r="M19" s="11" t="n">
        <x:f>IF(COUNT($B$5:$B$7)=3,K19-L19,"")</x:f>
        <x:v>24246.640000000014</x:v>
      </x:c>
    </x:row>
    <x:row r="20" ht="23" customHeight="1">
      <x:c r="A20" s="22" t="str">
        <x:f>Produccion!A23</x:f>
        <x:v>PR009R</x:v>
      </x:c>
      <x:c r="B20" s="23" t="n">
        <x:f>Produccion!B23</x:f>
        <x:v>46082</x:v>
      </x:c>
      <x:c r="C20" s="22" t="str">
        <x:f>Produccion!C23</x:f>
        <x:v>Transicion</x:v>
      </x:c>
      <x:c r="D20" s="24" t="n">
        <x:f>Produccion!E23</x:f>
        <x:v>491</x:v>
      </x:c>
      <x:c r="E20" s="11" t="n">
        <x:f>IF(COUNT($B$5:$B$7)=3,D20*(1+$B$6),"")</x:f>
        <x:v>491</x:v>
      </x:c>
      <x:c r="F20" s="24" t="n">
        <x:f>Produccion!F23</x:f>
        <x:v>348.7</x:v>
      </x:c>
      <x:c r="G20" s="11" t="n">
        <x:f>IF(COUNT($B$5:$B$7)=3,F20*(1+$B$5),"")</x:f>
        <x:v>348.7</x:v>
      </x:c>
      <x:c r="H20" s="24" t="n">
        <x:f>SUM(Produccion!G23:H23)</x:f>
        <x:v>51</x:v>
      </x:c>
      <x:c r="I20" s="24" t="n">
        <x:f>Produccion!I23</x:f>
        <x:v>431.27</x:v>
      </x:c>
      <x:c r="J20" s="11" t="n">
        <x:f>IF(COUNT($B$5:$B$7)=3,I20*(1+$B$7),"")</x:f>
        <x:v>431.27</x:v>
      </x:c>
      <x:c r="K20" s="11" t="n">
        <x:f>IF(COUNT($B$5:$B$7)=3,E20*J20,"")</x:f>
        <x:v>211753.56999999998</x:v>
      </x:c>
      <x:c r="L20" s="11" t="n">
        <x:f>IF(COUNT($B$5:$B$7)=3,E20*(G20+H20),"")</x:f>
        <x:v>196252.69999999998</x:v>
      </x:c>
      <x:c r="M20" s="11" t="n">
        <x:f>IF(COUNT($B$5:$B$7)=3,K20-L20,"")</x:f>
        <x:v>15500.869999999995</x:v>
      </x:c>
    </x:row>
    <x:row r="21" ht="23" customHeight="1">
      <x:c r="A21" s="22" t="str">
        <x:f>Produccion!A25</x:f>
        <x:v>PR010R</x:v>
      </x:c>
      <x:c r="B21" s="23" t="n">
        <x:f>Produccion!B25</x:f>
        <x:v>46082</x:v>
      </x:c>
      <x:c r="C21" s="22" t="str">
        <x:f>Produccion!C25</x:f>
        <x:v>Cebo</x:v>
      </x:c>
      <x:c r="D21" s="24" t="n">
        <x:f>Produccion!E25</x:f>
        <x:v>1599</x:v>
      </x:c>
      <x:c r="E21" s="11" t="n">
        <x:f>IF(COUNT($B$5:$B$7)=3,D21*(1+$B$6),"")</x:f>
        <x:v>1599</x:v>
      </x:c>
      <x:c r="F21" s="24" t="n">
        <x:f>Produccion!F25</x:f>
        <x:v>262.94</x:v>
      </x:c>
      <x:c r="G21" s="11" t="n">
        <x:f>IF(COUNT($B$5:$B$7)=3,F21*(1+$B$5),"")</x:f>
        <x:v>262.94</x:v>
      </x:c>
      <x:c r="H21" s="24" t="n">
        <x:f>SUM(Produccion!G25:H25)</x:f>
        <x:v>40</x:v>
      </x:c>
      <x:c r="I21" s="24" t="n">
        <x:f>Produccion!I25</x:f>
        <x:v>333.63</x:v>
      </x:c>
      <x:c r="J21" s="11" t="n">
        <x:f>IF(COUNT($B$5:$B$7)=3,I21*(1+$B$7),"")</x:f>
        <x:v>333.63</x:v>
      </x:c>
      <x:c r="K21" s="11" t="n">
        <x:f>IF(COUNT($B$5:$B$7)=3,E21*J21,"")</x:f>
        <x:v>533474.37</x:v>
      </x:c>
      <x:c r="L21" s="11" t="n">
        <x:f>IF(COUNT($B$5:$B$7)=3,E21*(G21+H21),"")</x:f>
        <x:v>484401.06</x:v>
      </x:c>
      <x:c r="M21" s="11" t="n">
        <x:f>IF(COUNT($B$5:$B$7)=3,K21-L21,"")</x:f>
        <x:v>49073.31</x:v>
      </x:c>
    </x:row>
    <x:row r="22" ht="23" customHeight="1">
      <x:c r="A22" s="22" t="str">
        <x:f>Produccion!A27</x:f>
        <x:v>PR011R</x:v>
      </x:c>
      <x:c r="B22" s="23" t="n">
        <x:f>Produccion!B27</x:f>
        <x:v>46082</x:v>
      </x:c>
      <x:c r="C22" s="22" t="str">
        <x:f>Produccion!C27</x:f>
        <x:v>Gestacion</x:v>
      </x:c>
      <x:c r="D22" s="24" t="n">
        <x:f>Produccion!E27</x:f>
        <x:v>964</x:v>
      </x:c>
      <x:c r="E22" s="11" t="n">
        <x:f>IF(COUNT($B$5:$B$7)=3,D22*(1+$B$6),"")</x:f>
        <x:v>964</x:v>
      </x:c>
      <x:c r="F22" s="24" t="n">
        <x:f>Produccion!F27</x:f>
        <x:v>238.68</x:v>
      </x:c>
      <x:c r="G22" s="11" t="n">
        <x:f>IF(COUNT($B$5:$B$7)=3,F22*(1+$B$5),"")</x:f>
        <x:v>238.68</x:v>
      </x:c>
      <x:c r="H22" s="24" t="n">
        <x:f>SUM(Produccion!G27:H27)</x:f>
        <x:v>35</x:v>
      </x:c>
      <x:c r="I22" s="24" t="n">
        <x:f>Produccion!I27</x:f>
        <x:v>317</x:v>
      </x:c>
      <x:c r="J22" s="11" t="n">
        <x:f>IF(COUNT($B$5:$B$7)=3,I22*(1+$B$7),"")</x:f>
        <x:v>317</x:v>
      </x:c>
      <x:c r="K22" s="11" t="n">
        <x:f>IF(COUNT($B$5:$B$7)=3,E22*J22,"")</x:f>
        <x:v>305588</x:v>
      </x:c>
      <x:c r="L22" s="11" t="n">
        <x:f>IF(COUNT($B$5:$B$7)=3,E22*(G22+H22),"")</x:f>
        <x:v>263827.52</x:v>
      </x:c>
      <x:c r="M22" s="11" t="n">
        <x:f>IF(COUNT($B$5:$B$7)=3,K22-L22,"")</x:f>
        <x:v>41760.47999999998</x:v>
      </x:c>
    </x:row>
    <x:row r="23" ht="23" customHeight="1">
      <x:c r="A23" s="22" t="str">
        <x:f>Produccion!A29</x:f>
        <x:v>PR012R</x:v>
      </x:c>
      <x:c r="B23" s="23" t="n">
        <x:f>Produccion!B29</x:f>
        <x:v>46082</x:v>
      </x:c>
      <x:c r="C23" s="22" t="str">
        <x:f>Produccion!C29</x:f>
        <x:v>Lactacion</x:v>
      </x:c>
      <x:c r="D23" s="24" t="n">
        <x:f>Produccion!E29</x:f>
        <x:v>636</x:v>
      </x:c>
      <x:c r="E23" s="11" t="n">
        <x:f>IF(COUNT($B$5:$B$7)=3,D23*(1+$B$6),"")</x:f>
        <x:v>636</x:v>
      </x:c>
      <x:c r="F23" s="24" t="n">
        <x:f>Produccion!F29</x:f>
        <x:v>293.09</x:v>
      </x:c>
      <x:c r="G23" s="11" t="n">
        <x:f>IF(COUNT($B$5:$B$7)=3,F23*(1+$B$5),"")</x:f>
        <x:v>293.09</x:v>
      </x:c>
      <x:c r="H23" s="24" t="n">
        <x:f>SUM(Produccion!G29:H29)</x:f>
        <x:v>46</x:v>
      </x:c>
      <x:c r="I23" s="24" t="n">
        <x:f>Produccion!I29</x:f>
        <x:v>370.67</x:v>
      </x:c>
      <x:c r="J23" s="11" t="n">
        <x:f>IF(COUNT($B$5:$B$7)=3,I23*(1+$B$7),"")</x:f>
        <x:v>370.67</x:v>
      </x:c>
      <x:c r="K23" s="11" t="n">
        <x:f>IF(COUNT($B$5:$B$7)=3,E23*J23,"")</x:f>
        <x:v>235746.12000000002</x:v>
      </x:c>
      <x:c r="L23" s="11" t="n">
        <x:f>IF(COUNT($B$5:$B$7)=3,E23*(G23+H23),"")</x:f>
        <x:v>215661.24</x:v>
      </x:c>
      <x:c r="M23" s="11" t="n">
        <x:f>IF(COUNT($B$5:$B$7)=3,K23-L23,"")</x:f>
        <x:v>20084.880000000034</x:v>
      </x:c>
    </x:row>
    <x:row r="24" ht="23" customHeight="1">
      <x:c r="A24" s="22" t="str">
        <x:f>Produccion!A31</x:f>
        <x:v>PR013R</x:v>
      </x:c>
      <x:c r="B24" s="23" t="n">
        <x:f>Produccion!B31</x:f>
        <x:v>46113</x:v>
      </x:c>
      <x:c r="C24" s="22" t="str">
        <x:f>Produccion!C31</x:f>
        <x:v>Transicion</x:v>
      </x:c>
      <x:c r="D24" s="24" t="n">
        <x:f>Produccion!E31</x:f>
        <x:v>464</x:v>
      </x:c>
      <x:c r="E24" s="11" t="n">
        <x:f>IF(COUNT($B$5:$B$7)=3,D24*(1+$B$6),"")</x:f>
        <x:v>464</x:v>
      </x:c>
      <x:c r="F24" s="24" t="n">
        <x:f>Produccion!F31</x:f>
        <x:v>354.82</x:v>
      </x:c>
      <x:c r="G24" s="11" t="n">
        <x:f>IF(COUNT($B$5:$B$7)=3,F24*(1+$B$5),"")</x:f>
        <x:v>354.82</x:v>
      </x:c>
      <x:c r="H24" s="24" t="n">
        <x:f>SUM(Produccion!G31:H31)</x:f>
        <x:v>48</x:v>
      </x:c>
      <x:c r="I24" s="24" t="n">
        <x:f>Produccion!I31</x:f>
        <x:v>423.72</x:v>
      </x:c>
      <x:c r="J24" s="11" t="n">
        <x:f>IF(COUNT($B$5:$B$7)=3,I24*(1+$B$7),"")</x:f>
        <x:v>423.72</x:v>
      </x:c>
      <x:c r="K24" s="11" t="n">
        <x:f>IF(COUNT($B$5:$B$7)=3,E24*J24,"")</x:f>
        <x:v>196606.08000000002</x:v>
      </x:c>
      <x:c r="L24" s="11" t="n">
        <x:f>IF(COUNT($B$5:$B$7)=3,E24*(G24+H24),"")</x:f>
        <x:v>186908.48</x:v>
      </x:c>
      <x:c r="M24" s="11" t="n">
        <x:f>IF(COUNT($B$5:$B$7)=3,K24-L24,"")</x:f>
        <x:v>9697.600000000006</x:v>
      </x:c>
    </x:row>
    <x:row r="25" ht="23" customHeight="1">
      <x:c r="A25" s="22" t="str">
        <x:f>Produccion!A33</x:f>
        <x:v>PR014R</x:v>
      </x:c>
      <x:c r="B25" s="23" t="n">
        <x:f>Produccion!B33</x:f>
        <x:v>46113</x:v>
      </x:c>
      <x:c r="C25" s="22" t="str">
        <x:f>Produccion!C33</x:f>
        <x:v>Cebo</x:v>
      </x:c>
      <x:c r="D25" s="24" t="n">
        <x:f>Produccion!E33</x:f>
        <x:v>1764</x:v>
      </x:c>
      <x:c r="E25" s="11" t="n">
        <x:f>IF(COUNT($B$5:$B$7)=3,D25*(1+$B$6),"")</x:f>
        <x:v>1764</x:v>
      </x:c>
      <x:c r="F25" s="24" t="n">
        <x:f>Produccion!F33</x:f>
        <x:v>256.02</x:v>
      </x:c>
      <x:c r="G25" s="11" t="n">
        <x:f>IF(COUNT($B$5:$B$7)=3,F25*(1+$B$5),"")</x:f>
        <x:v>256.02</x:v>
      </x:c>
      <x:c r="H25" s="24" t="n">
        <x:f>SUM(Produccion!G33:H33)</x:f>
        <x:v>38</x:v>
      </x:c>
      <x:c r="I25" s="24" t="n">
        <x:f>Produccion!I33</x:f>
        <x:v>338</x:v>
      </x:c>
      <x:c r="J25" s="11" t="n">
        <x:f>IF(COUNT($B$5:$B$7)=3,I25*(1+$B$7),"")</x:f>
        <x:v>338</x:v>
      </x:c>
      <x:c r="K25" s="11" t="n">
        <x:f>IF(COUNT($B$5:$B$7)=3,E25*J25,"")</x:f>
        <x:v>596232</x:v>
      </x:c>
      <x:c r="L25" s="11" t="n">
        <x:f>IF(COUNT($B$5:$B$7)=3,E25*(G25+H25),"")</x:f>
        <x:v>518651.27999999997</x:v>
      </x:c>
      <x:c r="M25" s="11" t="n">
        <x:f>IF(COUNT($B$5:$B$7)=3,K25-L25,"")</x:f>
        <x:v>77580.72000000003</x:v>
      </x:c>
    </x:row>
    <x:row r="26" ht="23" customHeight="1">
      <x:c r="A26" s="22" t="str">
        <x:f>Produccion!A35</x:f>
        <x:v>PR015R</x:v>
      </x:c>
      <x:c r="B26" s="23" t="n">
        <x:f>Produccion!B35</x:f>
        <x:v>46113</x:v>
      </x:c>
      <x:c r="C26" s="22" t="str">
        <x:f>Produccion!C35</x:f>
        <x:v>Gestacion</x:v>
      </x:c>
      <x:c r="D26" s="24" t="n">
        <x:f>Produccion!E35</x:f>
        <x:v>907</x:v>
      </x:c>
      <x:c r="E26" s="11" t="n">
        <x:f>IF(COUNT($B$5:$B$7)=3,D26*(1+$B$6),"")</x:f>
        <x:v>907</x:v>
      </x:c>
      <x:c r="F26" s="24" t="n">
        <x:f>Produccion!F35</x:f>
        <x:v>243.55</x:v>
      </x:c>
      <x:c r="G26" s="11" t="n">
        <x:f>IF(COUNT($B$5:$B$7)=3,F26*(1+$B$5),"")</x:f>
        <x:v>243.55</x:v>
      </x:c>
      <x:c r="H26" s="24" t="n">
        <x:f>SUM(Produccion!G35:H35)</x:f>
        <x:v>40</x:v>
      </x:c>
      <x:c r="I26" s="24" t="n">
        <x:f>Produccion!I35</x:f>
        <x:v>321.18</x:v>
      </x:c>
      <x:c r="J26" s="11" t="n">
        <x:f>IF(COUNT($B$5:$B$7)=3,I26*(1+$B$7),"")</x:f>
        <x:v>321.18</x:v>
      </x:c>
      <x:c r="K26" s="11" t="n">
        <x:f>IF(COUNT($B$5:$B$7)=3,E26*J26,"")</x:f>
        <x:v>291310.26</x:v>
      </x:c>
      <x:c r="L26" s="11" t="n">
        <x:f>IF(COUNT($B$5:$B$7)=3,E26*(G26+H26),"")</x:f>
        <x:v>257179.85</x:v>
      </x:c>
      <x:c r="M26" s="11" t="n">
        <x:f>IF(COUNT($B$5:$B$7)=3,K26-L26,"")</x:f>
        <x:v>34130.41</x:v>
      </x:c>
    </x:row>
    <x:row r="27" ht="23" customHeight="1">
      <x:c r="A27" s="22" t="str">
        <x:f>Produccion!A37</x:f>
        <x:v>PR016R</x:v>
      </x:c>
      <x:c r="B27" s="23" t="n">
        <x:f>Produccion!B37</x:f>
        <x:v>46113</x:v>
      </x:c>
      <x:c r="C27" s="22" t="str">
        <x:f>Produccion!C37</x:f>
        <x:v>Lactacion</x:v>
      </x:c>
      <x:c r="D27" s="24" t="n">
        <x:f>Produccion!E37</x:f>
        <x:v>703</x:v>
      </x:c>
      <x:c r="E27" s="11" t="n">
        <x:f>IF(COUNT($B$5:$B$7)=3,D27*(1+$B$6),"")</x:f>
        <x:v>703</x:v>
      </x:c>
      <x:c r="F27" s="24" t="n">
        <x:f>Produccion!F37</x:f>
        <x:v>298.58</x:v>
      </x:c>
      <x:c r="G27" s="11" t="n">
        <x:f>IF(COUNT($B$5:$B$7)=3,F27*(1+$B$5),"")</x:f>
        <x:v>298.58</x:v>
      </x:c>
      <x:c r="H27" s="24" t="n">
        <x:f>SUM(Produccion!G37:H37)</x:f>
        <x:v>43</x:v>
      </x:c>
      <x:c r="I27" s="24" t="n">
        <x:f>Produccion!I37</x:f>
        <x:v>364.32</x:v>
      </x:c>
      <x:c r="J27" s="11" t="n">
        <x:f>IF(COUNT($B$5:$B$7)=3,I27*(1+$B$7),"")</x:f>
        <x:v>364.32</x:v>
      </x:c>
      <x:c r="K27" s="11" t="n">
        <x:f>IF(COUNT($B$5:$B$7)=3,E27*J27,"")</x:f>
        <x:v>256116.96</x:v>
      </x:c>
      <x:c r="L27" s="11" t="n">
        <x:f>IF(COUNT($B$5:$B$7)=3,E27*(G27+H27),"")</x:f>
        <x:v>240130.74</x:v>
      </x:c>
      <x:c r="M27" s="11" t="n">
        <x:f>IF(COUNT($B$5:$B$7)=3,K27-L27,"")</x:f>
        <x:v>15986.220000000001</x:v>
      </x:c>
    </x:row>
    <x:row r="28" ht="23" customHeight="1">
      <x:c r="A28" s="22" t="str">
        <x:f>Produccion!A39</x:f>
        <x:v>PR017R</x:v>
      </x:c>
      <x:c r="B28" s="23" t="n">
        <x:f>Produccion!B39</x:f>
        <x:v>46143</x:v>
      </x:c>
      <x:c r="C28" s="22" t="str">
        <x:f>Produccion!C39</x:f>
        <x:v>Transicion</x:v>
      </x:c>
      <x:c r="D28" s="24" t="n">
        <x:f>Produccion!E39</x:f>
        <x:v>510</x:v>
      </x:c>
      <x:c r="E28" s="11" t="n">
        <x:f>IF(COUNT($B$5:$B$7)=3,D28*(1+$B$6),"")</x:f>
        <x:v>510</x:v>
      </x:c>
      <x:c r="F28" s="24" t="n">
        <x:f>Produccion!F39</x:f>
        <x:v>344.76</x:v>
      </x:c>
      <x:c r="G28" s="11" t="n">
        <x:f>IF(COUNT($B$5:$B$7)=3,F28*(1+$B$5),"")</x:f>
        <x:v>344.76</x:v>
      </x:c>
      <x:c r="H28" s="24" t="n">
        <x:f>SUM(Produccion!G39:H39)</x:f>
        <x:v>46</x:v>
      </x:c>
      <x:c r="I28" s="24" t="n">
        <x:f>Produccion!I39</x:f>
        <x:v>429</x:v>
      </x:c>
      <x:c r="J28" s="11" t="n">
        <x:f>IF(COUNT($B$5:$B$7)=3,I28*(1+$B$7),"")</x:f>
        <x:v>429</x:v>
      </x:c>
      <x:c r="K28" s="11" t="n">
        <x:f>IF(COUNT($B$5:$B$7)=3,E28*J28,"")</x:f>
        <x:v>218790</x:v>
      </x:c>
      <x:c r="L28" s="11" t="n">
        <x:f>IF(COUNT($B$5:$B$7)=3,E28*(G28+H28),"")</x:f>
        <x:v>199287.6</x:v>
      </x:c>
      <x:c r="M28" s="11" t="n">
        <x:f>IF(COUNT($B$5:$B$7)=3,K28-L28,"")</x:f>
        <x:v>19502.399999999994</x:v>
      </x:c>
    </x:row>
    <x:row r="29" ht="23" customHeight="1">
      <x:c r="A29" s="22" t="str">
        <x:f>Produccion!A41</x:f>
        <x:v>PR018R</x:v>
      </x:c>
      <x:c r="B29" s="23" t="n">
        <x:f>Produccion!B41</x:f>
        <x:v>46143</x:v>
      </x:c>
      <x:c r="C29" s="22" t="str">
        <x:f>Produccion!C41</x:f>
        <x:v>Cebo</x:v>
      </x:c>
      <x:c r="D29" s="24" t="n">
        <x:f>Produccion!E41</x:f>
        <x:v>1659</x:v>
      </x:c>
      <x:c r="E29" s="11" t="n">
        <x:f>IF(COUNT($B$5:$B$7)=3,D29*(1+$B$6),"")</x:f>
        <x:v>1659</x:v>
      </x:c>
      <x:c r="F29" s="24" t="n">
        <x:f>Produccion!F41</x:f>
        <x:v>261.1</x:v>
      </x:c>
      <x:c r="G29" s="11" t="n">
        <x:f>IF(COUNT($B$5:$B$7)=3,F29*(1+$B$5),"")</x:f>
        <x:v>261.1</x:v>
      </x:c>
      <x:c r="H29" s="24" t="n">
        <x:f>SUM(Produccion!G41:H41)</x:f>
        <x:v>43</x:v>
      </x:c>
      <x:c r="I29" s="24" t="n">
        <x:f>Produccion!I41</x:f>
        <x:v>342.39</x:v>
      </x:c>
      <x:c r="J29" s="11" t="n">
        <x:f>IF(COUNT($B$5:$B$7)=3,I29*(1+$B$7),"")</x:f>
        <x:v>342.39</x:v>
      </x:c>
      <x:c r="K29" s="11" t="n">
        <x:f>IF(COUNT($B$5:$B$7)=3,E29*J29,"")</x:f>
        <x:v>568025.01</x:v>
      </x:c>
      <x:c r="L29" s="11" t="n">
        <x:f>IF(COUNT($B$5:$B$7)=3,E29*(G29+H29),"")</x:f>
        <x:v>504501.9</x:v>
      </x:c>
      <x:c r="M29" s="11" t="n">
        <x:f>IF(COUNT($B$5:$B$7)=3,K29-L29,"")</x:f>
        <x:v>63523.109999999986</x:v>
      </x:c>
    </x:row>
    <x:row r="30" ht="23" customHeight="1">
      <x:c r="A30" s="22" t="str">
        <x:f>Produccion!A43</x:f>
        <x:v>PR019R</x:v>
      </x:c>
      <x:c r="B30" s="23" t="n">
        <x:f>Produccion!B43</x:f>
        <x:v>46143</x:v>
      </x:c>
      <x:c r="C30" s="22" t="str">
        <x:f>Produccion!C43</x:f>
        <x:v>Gestacion</x:v>
      </x:c>
      <x:c r="D30" s="24" t="n">
        <x:f>Produccion!E43</x:f>
        <x:v>1001</x:v>
      </x:c>
      <x:c r="E30" s="11" t="n">
        <x:f>IF(COUNT($B$5:$B$7)=3,D30*(1+$B$6),"")</x:f>
        <x:v>1001</x:v>
      </x:c>
      <x:c r="F30" s="24" t="n">
        <x:f>Produccion!F43</x:f>
        <x:v>248.47</x:v>
      </x:c>
      <x:c r="G30" s="11" t="n">
        <x:f>IF(COUNT($B$5:$B$7)=3,F30*(1+$B$5),"")</x:f>
        <x:v>248.47</x:v>
      </x:c>
      <x:c r="H30" s="24" t="n">
        <x:f>SUM(Produccion!G43:H43)</x:f>
        <x:v>37</x:v>
      </x:c>
      <x:c r="I30" s="24" t="n">
        <x:f>Produccion!I43</x:f>
        <x:v>315.81</x:v>
      </x:c>
      <x:c r="J30" s="11" t="n">
        <x:f>IF(COUNT($B$5:$B$7)=3,I30*(1+$B$7),"")</x:f>
        <x:v>315.81</x:v>
      </x:c>
      <x:c r="K30" s="11" t="n">
        <x:f>IF(COUNT($B$5:$B$7)=3,E30*J30,"")</x:f>
        <x:v>316125.81</x:v>
      </x:c>
      <x:c r="L30" s="11" t="n">
        <x:f>IF(COUNT($B$5:$B$7)=3,E30*(G30+H30),"")</x:f>
        <x:v>285755.47000000003</x:v>
      </x:c>
      <x:c r="M30" s="11" t="n">
        <x:f>IF(COUNT($B$5:$B$7)=3,K30-L30,"")</x:f>
        <x:v>30370.339999999967</x:v>
      </x:c>
    </x:row>
    <x:row r="31" ht="23" customHeight="1">
      <x:c r="A31" s="22" t="str">
        <x:f>Produccion!A45</x:f>
        <x:v>PR020R</x:v>
      </x:c>
      <x:c r="B31" s="23" t="n">
        <x:f>Produccion!B45</x:f>
        <x:v>46143</x:v>
      </x:c>
      <x:c r="C31" s="22" t="str">
        <x:f>Produccion!C45</x:f>
        <x:v>Lactacion</x:v>
      </x:c>
      <x:c r="D31" s="24" t="n">
        <x:f>Produccion!E45</x:f>
        <x:v>751</x:v>
      </x:c>
      <x:c r="E31" s="11" t="n">
        <x:f>IF(COUNT($B$5:$B$7)=3,D31*(1+$B$6),"")</x:f>
        <x:v>751</x:v>
      </x:c>
      <x:c r="F31" s="24" t="n">
        <x:f>Produccion!F45</x:f>
        <x:v>304.13</x:v>
      </x:c>
      <x:c r="G31" s="11" t="n">
        <x:f>IF(COUNT($B$5:$B$7)=3,F31*(1+$B$5),"")</x:f>
        <x:v>304.13</x:v>
      </x:c>
      <x:c r="H31" s="24" t="n">
        <x:f>SUM(Produccion!G45:H45)</x:f>
        <x:v>41</x:v>
      </x:c>
      <x:c r="I31" s="24" t="n">
        <x:f>Produccion!I45</x:f>
        <x:v>369</x:v>
      </x:c>
      <x:c r="J31" s="11" t="n">
        <x:f>IF(COUNT($B$5:$B$7)=3,I31*(1+$B$7),"")</x:f>
        <x:v>369</x:v>
      </x:c>
      <x:c r="K31" s="11" t="n">
        <x:f>IF(COUNT($B$5:$B$7)=3,E31*J31,"")</x:f>
        <x:v>277119</x:v>
      </x:c>
      <x:c r="L31" s="11" t="n">
        <x:f>IF(COUNT($B$5:$B$7)=3,E31*(G31+H31),"")</x:f>
        <x:v>259192.63</x:v>
      </x:c>
      <x:c r="M31" s="11" t="n">
        <x:f>IF(COUNT($B$5:$B$7)=3,K31-L31,"")</x:f>
        <x:v>17926.369999999995</x:v>
      </x:c>
    </x:row>
    <x:row r="32" ht="23" customHeight="1">
      <x:c r="A32" s="22" t="str">
        <x:f>Produccion!A47</x:f>
        <x:v>PR021R</x:v>
      </x:c>
      <x:c r="B32" s="23" t="n">
        <x:f>Produccion!B47</x:f>
        <x:v>46174</x:v>
      </x:c>
      <x:c r="C32" s="22" t="str">
        <x:f>Produccion!C47</x:f>
        <x:v>Transicion</x:v>
      </x:c>
      <x:c r="D32" s="24" t="n">
        <x:f>Produccion!E47</x:f>
        <x:v>484</x:v>
      </x:c>
      <x:c r="E32" s="11" t="n">
        <x:f>IF(COUNT($B$5:$B$7)=3,D32*(1+$B$6),"")</x:f>
        <x:v>484</x:v>
      </x:c>
      <x:c r="F32" s="24" t="n">
        <x:f>Produccion!F47</x:f>
        <x:v>350.88</x:v>
      </x:c>
      <x:c r="G32" s="11" t="n">
        <x:f>IF(COUNT($B$5:$B$7)=3,F32*(1+$B$5),"")</x:f>
        <x:v>350.88</x:v>
      </x:c>
      <x:c r="H32" s="24" t="n">
        <x:f>SUM(Produccion!G47:H47)</x:f>
        <x:v>51</x:v>
      </x:c>
      <x:c r="I32" s="24" t="n">
        <x:f>Produccion!I47</x:f>
        <x:v>434.3</x:v>
      </x:c>
      <x:c r="J32" s="11" t="n">
        <x:f>IF(COUNT($B$5:$B$7)=3,I32*(1+$B$7),"")</x:f>
        <x:v>434.3</x:v>
      </x:c>
      <x:c r="K32" s="11" t="n">
        <x:f>IF(COUNT($B$5:$B$7)=3,E32*J32,"")</x:f>
        <x:v>210201.2</x:v>
      </x:c>
      <x:c r="L32" s="11" t="n">
        <x:f>IF(COUNT($B$5:$B$7)=3,E32*(G32+H32),"")</x:f>
        <x:v>194509.91999999998</x:v>
      </x:c>
      <x:c r="M32" s="11" t="n">
        <x:f>IF(COUNT($B$5:$B$7)=3,K32-L32,"")</x:f>
        <x:v>15691.280000000028</x:v>
      </x:c>
    </x:row>
    <x:row r="33" ht="23" customHeight="1">
      <x:c r="A33" s="22" t="str">
        <x:f>Produccion!A49</x:f>
        <x:v>PR022R</x:v>
      </x:c>
      <x:c r="B33" s="23" t="n">
        <x:f>Produccion!B49</x:f>
        <x:v>46174</x:v>
      </x:c>
      <x:c r="C33" s="22" t="str">
        <x:f>Produccion!C49</x:f>
        <x:v>Cebo</x:v>
      </x:c>
      <x:c r="D33" s="24" t="n">
        <x:f>Produccion!E49</x:f>
        <x:v>1846</x:v>
      </x:c>
      <x:c r="E33" s="11" t="n">
        <x:f>IF(COUNT($B$5:$B$7)=3,D33*(1+$B$6),"")</x:f>
        <x:v>1846</x:v>
      </x:c>
      <x:c r="F33" s="24" t="n">
        <x:f>Produccion!F49</x:f>
        <x:v>266.22</x:v>
      </x:c>
      <x:c r="G33" s="11" t="n">
        <x:f>IF(COUNT($B$5:$B$7)=3,F33*(1+$B$5),"")</x:f>
        <x:v>266.22</x:v>
      </x:c>
      <x:c r="H33" s="24" t="n">
        <x:f>SUM(Produccion!G49:H49)</x:f>
        <x:v>40</x:v>
      </x:c>
      <x:c r="I33" s="24" t="n">
        <x:f>Produccion!I49</x:f>
        <x:v>336.6</x:v>
      </x:c>
      <x:c r="J33" s="11" t="n">
        <x:f>IF(COUNT($B$5:$B$7)=3,I33*(1+$B$7),"")</x:f>
        <x:v>336.6</x:v>
      </x:c>
      <x:c r="K33" s="11" t="n">
        <x:f>IF(COUNT($B$5:$B$7)=3,E33*J33,"")</x:f>
        <x:v>621363.6000000001</x:v>
      </x:c>
      <x:c r="L33" s="11" t="n">
        <x:f>IF(COUNT($B$5:$B$7)=3,E33*(G33+H33),"")</x:f>
        <x:v>565282.12</x:v>
      </x:c>
      <x:c r="M33" s="11" t="n">
        <x:f>IF(COUNT($B$5:$B$7)=3,K33-L33,"")</x:f>
        <x:v>56081.4800000001</x:v>
      </x:c>
    </x:row>
    <x:row r="34" ht="23" customHeight="1">
      <x:c r="A34" s="22" t="str">
        <x:f>Produccion!A51</x:f>
        <x:v>PR023R</x:v>
      </x:c>
      <x:c r="B34" s="23" t="n">
        <x:f>Produccion!B51</x:f>
        <x:v>46174</x:v>
      </x:c>
      <x:c r="C34" s="22" t="str">
        <x:f>Produccion!C51</x:f>
        <x:v>Gestacion</x:v>
      </x:c>
      <x:c r="D34" s="24" t="n">
        <x:f>Produccion!E51</x:f>
        <x:v>1079</x:v>
      </x:c>
      <x:c r="E34" s="11" t="n">
        <x:f>IF(COUNT($B$5:$B$7)=3,D34*(1+$B$6),"")</x:f>
        <x:v>1079</x:v>
      </x:c>
      <x:c r="F34" s="24" t="n">
        <x:f>Produccion!F51</x:f>
        <x:v>253.44</x:v>
      </x:c>
      <x:c r="G34" s="11" t="n">
        <x:f>IF(COUNT($B$5:$B$7)=3,F34*(1+$B$5),"")</x:f>
        <x:v>253.44</x:v>
      </x:c>
      <x:c r="H34" s="24" t="n">
        <x:f>SUM(Produccion!G51:H51)</x:f>
        <x:v>35</x:v>
      </x:c>
      <x:c r="I34" s="24" t="n">
        <x:f>Produccion!I51</x:f>
        <x:v>320</x:v>
      </x:c>
      <x:c r="J34" s="11" t="n">
        <x:f>IF(COUNT($B$5:$B$7)=3,I34*(1+$B$7),"")</x:f>
        <x:v>320</x:v>
      </x:c>
      <x:c r="K34" s="11" t="n">
        <x:f>IF(COUNT($B$5:$B$7)=3,E34*J34,"")</x:f>
        <x:v>345280</x:v>
      </x:c>
      <x:c r="L34" s="11" t="n">
        <x:f>IF(COUNT($B$5:$B$7)=3,E34*(G34+H34),"")</x:f>
        <x:v>311226.76</x:v>
      </x:c>
      <x:c r="M34" s="11" t="n">
        <x:f>IF(COUNT($B$5:$B$7)=3,K34-L34,"")</x:f>
        <x:v>34053.23999999999</x:v>
      </x:c>
    </x:row>
    <x:row r="35" ht="23" customHeight="1">
      <x:c r="A35" s="22" t="str">
        <x:f>Produccion!A53</x:f>
        <x:v>PR024R</x:v>
      </x:c>
      <x:c r="B35" s="23" t="n">
        <x:f>Produccion!B53</x:f>
        <x:v>46174</x:v>
      </x:c>
      <x:c r="C35" s="22" t="str">
        <x:f>Produccion!C53</x:f>
        <x:v>Lactacion</x:v>
      </x:c>
      <x:c r="D35" s="24" t="n">
        <x:f>Produccion!E53</x:f>
        <x:v>713</x:v>
      </x:c>
      <x:c r="E35" s="11" t="n">
        <x:f>IF(COUNT($B$5:$B$7)=3,D35*(1+$B$6),"")</x:f>
        <x:v>713</x:v>
      </x:c>
      <x:c r="F35" s="24" t="n">
        <x:f>Produccion!F53</x:f>
        <x:v>295.8</x:v>
      </x:c>
      <x:c r="G35" s="11" t="n">
        <x:f>IF(COUNT($B$5:$B$7)=3,F35*(1+$B$5),"")</x:f>
        <x:v>295.8</x:v>
      </x:c>
      <x:c r="H35" s="24" t="n">
        <x:f>SUM(Produccion!G53:H53)</x:f>
        <x:v>46</x:v>
      </x:c>
      <x:c r="I35" s="24" t="n">
        <x:f>Produccion!I53</x:f>
        <x:v>373.7</x:v>
      </x:c>
      <x:c r="J35" s="11" t="n">
        <x:f>IF(COUNT($B$5:$B$7)=3,I35*(1+$B$7),"")</x:f>
        <x:v>373.7</x:v>
      </x:c>
      <x:c r="K35" s="11" t="n">
        <x:f>IF(COUNT($B$5:$B$7)=3,E35*J35,"")</x:f>
        <x:v>266448.1</x:v>
      </x:c>
      <x:c r="L35" s="11" t="n">
        <x:f>IF(COUNT($B$5:$B$7)=3,E35*(G35+H35),"")</x:f>
        <x:v>243703.4</x:v>
      </x:c>
      <x:c r="M35" s="11" t="n">
        <x:f>IF(COUNT($B$5:$B$7)=3,K35-L35,"")</x:f>
        <x:v>22744.699999999983</x:v>
      </x:c>
    </x:row>
    <x:row r="36" ht="23" customHeight="1">
      <x:c r="A36" s="22" t="str">
        <x:f>Produccion!A55</x:f>
        <x:v>PR025R</x:v>
      </x:c>
      <x:c r="B36" s="23" t="n">
        <x:f>Produccion!B55</x:f>
        <x:v>46204</x:v>
      </x:c>
      <x:c r="C36" s="22" t="str">
        <x:f>Produccion!C55</x:f>
        <x:v>Transicion</x:v>
      </x:c>
      <x:c r="D36" s="24" t="n">
        <x:f>Produccion!E55</x:f>
        <x:v>491</x:v>
      </x:c>
      <x:c r="E36" s="11" t="n">
        <x:f>IF(COUNT($B$5:$B$7)=3,D36*(1+$B$6),"")</x:f>
        <x:v>491</x:v>
      </x:c>
      <x:c r="F36" s="24" t="n">
        <x:f>Produccion!F55</x:f>
        <x:v>357.05</x:v>
      </x:c>
      <x:c r="G36" s="11" t="n">
        <x:f>IF(COUNT($B$5:$B$7)=3,F36*(1+$B$5),"")</x:f>
        <x:v>357.05</x:v>
      </x:c>
      <x:c r="H36" s="24" t="n">
        <x:f>SUM(Produccion!G55:H55)</x:f>
        <x:v>48</x:v>
      </x:c>
      <x:c r="I36" s="24" t="n">
        <x:f>Produccion!I55</x:f>
        <x:v>426.69</x:v>
      </x:c>
      <x:c r="J36" s="11" t="n">
        <x:f>IF(COUNT($B$5:$B$7)=3,I36*(1+$B$7),"")</x:f>
        <x:v>426.69</x:v>
      </x:c>
      <x:c r="K36" s="11" t="n">
        <x:f>IF(COUNT($B$5:$B$7)=3,E36*J36,"")</x:f>
        <x:v>209504.79</x:v>
      </x:c>
      <x:c r="L36" s="11" t="n">
        <x:f>IF(COUNT($B$5:$B$7)=3,E36*(G36+H36),"")</x:f>
        <x:v>198879.55000000002</x:v>
      </x:c>
      <x:c r="M36" s="11" t="n">
        <x:f>IF(COUNT($B$5:$B$7)=3,K36-L36,"")</x:f>
        <x:v>10625.23999999999</x:v>
      </x:c>
    </x:row>
    <x:row r="37" ht="23" customHeight="1">
      <x:c r="A37" s="22" t="str">
        <x:f>Produccion!A57</x:f>
        <x:v>PR026R</x:v>
      </x:c>
      <x:c r="B37" s="23" t="n">
        <x:f>Produccion!B57</x:f>
        <x:v>46204</x:v>
      </x:c>
      <x:c r="C37" s="22" t="str">
        <x:f>Produccion!C57</x:f>
        <x:v>Cebo</x:v>
      </x:c>
      <x:c r="D37" s="24" t="n">
        <x:f>Produccion!E57</x:f>
        <x:v>1815</x:v>
      </x:c>
      <x:c r="E37" s="11" t="n">
        <x:f>IF(COUNT($B$5:$B$7)=3,D37*(1+$B$6),"")</x:f>
        <x:v>1815</x:v>
      </x:c>
      <x:c r="F37" s="24" t="n">
        <x:f>Produccion!F57</x:f>
        <x:v>271.39</x:v>
      </x:c>
      <x:c r="G37" s="11" t="n">
        <x:f>IF(COUNT($B$5:$B$7)=3,F37*(1+$B$5),"")</x:f>
        <x:v>271.39</x:v>
      </x:c>
      <x:c r="H37" s="24" t="n">
        <x:f>SUM(Produccion!G57:H57)</x:f>
        <x:v>38</x:v>
      </x:c>
      <x:c r="I37" s="24" t="n">
        <x:f>Produccion!I57</x:f>
        <x:v>341</x:v>
      </x:c>
      <x:c r="J37" s="11" t="n">
        <x:f>IF(COUNT($B$5:$B$7)=3,I37*(1+$B$7),"")</x:f>
        <x:v>341</x:v>
      </x:c>
      <x:c r="K37" s="11" t="n">
        <x:f>IF(COUNT($B$5:$B$7)=3,E37*J37,"")</x:f>
        <x:v>618915</x:v>
      </x:c>
      <x:c r="L37" s="11" t="n">
        <x:f>IF(COUNT($B$5:$B$7)=3,E37*(G37+H37),"")</x:f>
        <x:v>561542.85</x:v>
      </x:c>
      <x:c r="M37" s="11" t="n">
        <x:f>IF(COUNT($B$5:$B$7)=3,K37-L37,"")</x:f>
        <x:v>57372.15000000002</x:v>
      </x:c>
    </x:row>
    <x:row r="38" ht="23" customHeight="1">
      <x:c r="A38" s="22" t="str">
        <x:f>Produccion!A59</x:f>
        <x:v>PR027R</x:v>
      </x:c>
      <x:c r="B38" s="23" t="n">
        <x:f>Produccion!B59</x:f>
        <x:v>46204</x:v>
      </x:c>
      <x:c r="C38" s="22" t="str">
        <x:f>Produccion!C59</x:f>
        <x:v>Gestacion</x:v>
      </x:c>
      <x:c r="D38" s="24" t="n">
        <x:f>Produccion!E59</x:f>
        <x:v>935</x:v>
      </x:c>
      <x:c r="E38" s="11" t="n">
        <x:f>IF(COUNT($B$5:$B$7)=3,D38*(1+$B$6),"")</x:f>
        <x:v>935</x:v>
      </x:c>
      <x:c r="F38" s="24" t="n">
        <x:f>Produccion!F59</x:f>
        <x:v>246.84</x:v>
      </x:c>
      <x:c r="G38" s="11" t="n">
        <x:f>IF(COUNT($B$5:$B$7)=3,F38*(1+$B$5),"")</x:f>
        <x:v>246.84</x:v>
      </x:c>
      <x:c r="H38" s="24" t="n">
        <x:f>SUM(Produccion!G59:H59)</x:f>
        <x:v>40</x:v>
      </x:c>
      <x:c r="I38" s="24" t="n">
        <x:f>Produccion!I59</x:f>
        <x:v>324.21</x:v>
      </x:c>
      <x:c r="J38" s="11" t="n">
        <x:f>IF(COUNT($B$5:$B$7)=3,I38*(1+$B$7),"")</x:f>
        <x:v>324.21</x:v>
      </x:c>
      <x:c r="K38" s="11" t="n">
        <x:f>IF(COUNT($B$5:$B$7)=3,E38*J38,"")</x:f>
        <x:v>303136.35</x:v>
      </x:c>
      <x:c r="L38" s="11" t="n">
        <x:f>IF(COUNT($B$5:$B$7)=3,E38*(G38+H38),"")</x:f>
        <x:v>268195.4</x:v>
      </x:c>
      <x:c r="M38" s="11" t="n">
        <x:f>IF(COUNT($B$5:$B$7)=3,K38-L38,"")</x:f>
        <x:v>34940.94999999995</x:v>
      </x:c>
    </x:row>
    <x:row r="39" ht="23" customHeight="1">
      <x:c r="A39" s="22" t="str">
        <x:f>Produccion!A61</x:f>
        <x:v>PR028R</x:v>
      </x:c>
      <x:c r="B39" s="23" t="n">
        <x:f>Produccion!B61</x:f>
        <x:v>46204</x:v>
      </x:c>
      <x:c r="C39" s="22" t="str">
        <x:f>Produccion!C61</x:f>
        <x:v>Lactacion</x:v>
      </x:c>
      <x:c r="D39" s="24" t="n">
        <x:f>Produccion!E61</x:f>
        <x:v>723</x:v>
      </x:c>
      <x:c r="E39" s="11" t="n">
        <x:f>IF(COUNT($B$5:$B$7)=3,D39*(1+$B$6),"")</x:f>
        <x:v>723</x:v>
      </x:c>
      <x:c r="F39" s="24" t="n">
        <x:f>Produccion!F61</x:f>
        <x:v>301.34</x:v>
      </x:c>
      <x:c r="G39" s="11" t="n">
        <x:f>IF(COUNT($B$5:$B$7)=3,F39*(1+$B$5),"")</x:f>
        <x:v>301.34</x:v>
      </x:c>
      <x:c r="H39" s="24" t="n">
        <x:f>SUM(Produccion!G61:H61)</x:f>
        <x:v>43</x:v>
      </x:c>
      <x:c r="I39" s="24" t="n">
        <x:f>Produccion!I61</x:f>
        <x:v>367.29</x:v>
      </x:c>
      <x:c r="J39" s="11" t="n">
        <x:f>IF(COUNT($B$5:$B$7)=3,I39*(1+$B$7),"")</x:f>
        <x:v>367.29</x:v>
      </x:c>
      <x:c r="K39" s="11" t="n">
        <x:f>IF(COUNT($B$5:$B$7)=3,E39*J39,"")</x:f>
        <x:v>265550.67000000004</x:v>
      </x:c>
      <x:c r="L39" s="11" t="n">
        <x:f>IF(COUNT($B$5:$B$7)=3,E39*(G39+H39),"")</x:f>
        <x:v>248957.81999999998</x:v>
      </x:c>
      <x:c r="M39" s="11" t="n">
        <x:f>IF(COUNT($B$5:$B$7)=3,K39-L39,"")</x:f>
        <x:v>16592.850000000064</x:v>
      </x:c>
    </x:row>
    <x:row r="40" ht="23" customHeight="1">
      <x:c r="A40" s="22" t="str">
        <x:f>Produccion!A63</x:f>
        <x:v>PR029R</x:v>
      </x:c>
      <x:c r="B40" s="23" t="n">
        <x:f>Produccion!B63</x:f>
        <x:v>46235</x:v>
      </x:c>
      <x:c r="C40" s="22" t="str">
        <x:f>Produccion!C63</x:f>
        <x:v>Transicion</x:v>
      </x:c>
      <x:c r="D40" s="24" t="n">
        <x:f>Produccion!E63</x:f>
        <x:v>487</x:v>
      </x:c>
      <x:c r="E40" s="11" t="n">
        <x:f>IF(COUNT($B$5:$B$7)=3,D40*(1+$B$6),"")</x:f>
        <x:v>487</x:v>
      </x:c>
      <x:c r="F40" s="24" t="n">
        <x:f>Produccion!F63</x:f>
        <x:v>363.26</x:v>
      </x:c>
      <x:c r="G40" s="11" t="n">
        <x:f>IF(COUNT($B$5:$B$7)=3,F40*(1+$B$5),"")</x:f>
        <x:v>363.26</x:v>
      </x:c>
      <x:c r="H40" s="24" t="n">
        <x:f>SUM(Produccion!G63:H63)</x:f>
        <x:v>46</x:v>
      </x:c>
      <x:c r="I40" s="24" t="n">
        <x:f>Produccion!I63</x:f>
        <x:v>432</x:v>
      </x:c>
      <x:c r="J40" s="11" t="n">
        <x:f>IF(COUNT($B$5:$B$7)=3,I40*(1+$B$7),"")</x:f>
        <x:v>432</x:v>
      </x:c>
      <x:c r="K40" s="11" t="n">
        <x:f>IF(COUNT($B$5:$B$7)=3,E40*J40,"")</x:f>
        <x:v>210384</x:v>
      </x:c>
      <x:c r="L40" s="11" t="n">
        <x:f>IF(COUNT($B$5:$B$7)=3,E40*(G40+H40),"")</x:f>
        <x:v>199309.62</x:v>
      </x:c>
      <x:c r="M40" s="11" t="n">
        <x:f>IF(COUNT($B$5:$B$7)=3,K40-L40,"")</x:f>
        <x:v>11074.380000000005</x:v>
      </x:c>
    </x:row>
    <x:row r="41" ht="23" customHeight="1">
      <x:c r="A41" s="22" t="str">
        <x:f>Produccion!A65</x:f>
        <x:v>PR030R</x:v>
      </x:c>
      <x:c r="B41" s="23" t="n">
        <x:f>Produccion!B65</x:f>
        <x:v>46235</x:v>
      </x:c>
      <x:c r="C41" s="22" t="str">
        <x:f>Produccion!C65</x:f>
        <x:v>Cebo</x:v>
      </x:c>
      <x:c r="D41" s="24" t="n">
        <x:f>Produccion!E65</x:f>
        <x:v>1584</x:v>
      </x:c>
      <x:c r="E41" s="11" t="n">
        <x:f>IF(COUNT($B$5:$B$7)=3,D41*(1+$B$6),"")</x:f>
        <x:v>1584</x:v>
      </x:c>
      <x:c r="F41" s="24" t="n">
        <x:f>Produccion!F65</x:f>
        <x:v>264.18</x:v>
      </x:c>
      <x:c r="G41" s="11" t="n">
        <x:f>IF(COUNT($B$5:$B$7)=3,F41*(1+$B$5),"")</x:f>
        <x:v>264.18</x:v>
      </x:c>
      <x:c r="H41" s="24" t="n">
        <x:f>SUM(Produccion!G65:H65)</x:f>
        <x:v>43</x:v>
      </x:c>
      <x:c r="I41" s="24" t="n">
        <x:f>Produccion!I65</x:f>
        <x:v>345.42</x:v>
      </x:c>
      <x:c r="J41" s="11" t="n">
        <x:f>IF(COUNT($B$5:$B$7)=3,I41*(1+$B$7),"")</x:f>
        <x:v>345.42</x:v>
      </x:c>
      <x:c r="K41" s="11" t="n">
        <x:f>IF(COUNT($B$5:$B$7)=3,E41*J41,"")</x:f>
        <x:v>547145.28</x:v>
      </x:c>
      <x:c r="L41" s="11" t="n">
        <x:f>IF(COUNT($B$5:$B$7)=3,E41*(G41+H41),"")</x:f>
        <x:v>486573.12</x:v>
      </x:c>
      <x:c r="M41" s="11" t="n">
        <x:f>IF(COUNT($B$5:$B$7)=3,K41-L41,"")</x:f>
        <x:v>60572.16000000003</x:v>
      </x:c>
    </x:row>
    <x:row r="42" ht="23" customHeight="1">
      <x:c r="A42" s="22" t="str">
        <x:f>Produccion!A67</x:f>
        <x:v>PR031R</x:v>
      </x:c>
      <x:c r="B42" s="23" t="n">
        <x:f>Produccion!B67</x:f>
        <x:v>46235</x:v>
      </x:c>
      <x:c r="C42" s="22" t="str">
        <x:f>Produccion!C67</x:f>
        <x:v>Gestacion</x:v>
      </x:c>
      <x:c r="D42" s="24" t="n">
        <x:f>Produccion!E67</x:f>
        <x:v>954</x:v>
      </x:c>
      <x:c r="E42" s="11" t="n">
        <x:f>IF(COUNT($B$5:$B$7)=3,D42*(1+$B$6),"")</x:f>
        <x:v>954</x:v>
      </x:c>
      <x:c r="F42" s="24" t="n">
        <x:f>Produccion!F67</x:f>
        <x:v>251.81</x:v>
      </x:c>
      <x:c r="G42" s="11" t="n">
        <x:f>IF(COUNT($B$5:$B$7)=3,F42*(1+$B$5),"")</x:f>
        <x:v>251.81</x:v>
      </x:c>
      <x:c r="H42" s="24" t="n">
        <x:f>SUM(Produccion!G67:H67)</x:f>
        <x:v>37</x:v>
      </x:c>
      <x:c r="I42" s="24" t="n">
        <x:f>Produccion!I67</x:f>
        <x:v>318.78</x:v>
      </x:c>
      <x:c r="J42" s="11" t="n">
        <x:f>IF(COUNT($B$5:$B$7)=3,I42*(1+$B$7),"")</x:f>
        <x:v>318.78</x:v>
      </x:c>
      <x:c r="K42" s="11" t="n">
        <x:f>IF(COUNT($B$5:$B$7)=3,E42*J42,"")</x:f>
        <x:v>304116.12</x:v>
      </x:c>
      <x:c r="L42" s="11" t="n">
        <x:f>IF(COUNT($B$5:$B$7)=3,E42*(G42+H42),"")</x:f>
        <x:v>275524.74</x:v>
      </x:c>
      <x:c r="M42" s="11" t="n">
        <x:f>IF(COUNT($B$5:$B$7)=3,K42-L42,"")</x:f>
        <x:v>28591.380000000005</x:v>
      </x:c>
    </x:row>
    <x:row r="43" ht="23" customHeight="1">
      <x:c r="A43" s="22" t="str">
        <x:f>Produccion!A69</x:f>
        <x:v>PR032R</x:v>
      </x:c>
      <x:c r="B43" s="23" t="n">
        <x:f>Produccion!B69</x:f>
        <x:v>46235</x:v>
      </x:c>
      <x:c r="C43" s="22" t="str">
        <x:f>Produccion!C69</x:f>
        <x:v>Lactacion</x:v>
      </x:c>
      <x:c r="D43" s="24" t="n">
        <x:f>Produccion!E69</x:f>
        <x:v>631</x:v>
      </x:c>
      <x:c r="E43" s="11" t="n">
        <x:f>IF(COUNT($B$5:$B$7)=3,D43*(1+$B$6),"")</x:f>
        <x:v>631</x:v>
      </x:c>
      <x:c r="F43" s="24" t="n">
        <x:f>Produccion!F69</x:f>
        <x:v>306.94</x:v>
      </x:c>
      <x:c r="G43" s="11" t="n">
        <x:f>IF(COUNT($B$5:$B$7)=3,F43*(1+$B$5),"")</x:f>
        <x:v>306.94</x:v>
      </x:c>
      <x:c r="H43" s="24" t="n">
        <x:f>SUM(Produccion!G69:H69)</x:f>
        <x:v>41</x:v>
      </x:c>
      <x:c r="I43" s="24" t="n">
        <x:f>Produccion!I69</x:f>
        <x:v>372</x:v>
      </x:c>
      <x:c r="J43" s="11" t="n">
        <x:f>IF(COUNT($B$5:$B$7)=3,I43*(1+$B$7),"")</x:f>
        <x:v>372</x:v>
      </x:c>
      <x:c r="K43" s="11" t="n">
        <x:f>IF(COUNT($B$5:$B$7)=3,E43*J43,"")</x:f>
        <x:v>234732</x:v>
      </x:c>
      <x:c r="L43" s="11" t="n">
        <x:f>IF(COUNT($B$5:$B$7)=3,E43*(G43+H43),"")</x:f>
        <x:v>219550.13999999998</x:v>
      </x:c>
      <x:c r="M43" s="11" t="n">
        <x:f>IF(COUNT($B$5:$B$7)=3,K43-L43,"")</x:f>
        <x:v>15181.860000000015</x:v>
      </x:c>
    </x:row>
    <x:row r="44" ht="23" customHeight="1">
      <x:c r="A44" s="22" t="str">
        <x:f>Produccion!A71</x:f>
        <x:v>PR033R</x:v>
      </x:c>
      <x:c r="B44" s="23" t="n">
        <x:f>Produccion!B71</x:f>
        <x:v>46266</x:v>
      </x:c>
      <x:c r="C44" s="22" t="str">
        <x:f>Produccion!C71</x:f>
        <x:v>Transicion</x:v>
      </x:c>
      <x:c r="D44" s="24" t="n">
        <x:f>Produccion!E71</x:f>
        <x:v>459</x:v>
      </x:c>
      <x:c r="E44" s="11" t="n">
        <x:f>IF(COUNT($B$5:$B$7)=3,D44*(1+$B$6),"")</x:f>
        <x:v>459</x:v>
      </x:c>
      <x:c r="F44" s="24" t="n">
        <x:f>Produccion!F71</x:f>
        <x:v>352.92</x:v>
      </x:c>
      <x:c r="G44" s="11" t="n">
        <x:f>IF(COUNT($B$5:$B$7)=3,F44*(1+$B$5),"")</x:f>
        <x:v>352.92</x:v>
      </x:c>
      <x:c r="H44" s="24" t="n">
        <x:f>SUM(Produccion!G71:H71)</x:f>
        <x:v>51</x:v>
      </x:c>
      <x:c r="I44" s="24" t="n">
        <x:f>Produccion!I71</x:f>
        <x:v>437.33</x:v>
      </x:c>
      <x:c r="J44" s="11" t="n">
        <x:f>IF(COUNT($B$5:$B$7)=3,I44*(1+$B$7),"")</x:f>
        <x:v>437.33</x:v>
      </x:c>
      <x:c r="K44" s="11" t="n">
        <x:f>IF(COUNT($B$5:$B$7)=3,E44*J44,"")</x:f>
        <x:v>200734.47</x:v>
      </x:c>
      <x:c r="L44" s="11" t="n">
        <x:f>IF(COUNT($B$5:$B$7)=3,E44*(G44+H44),"")</x:f>
        <x:v>185399.28</x:v>
      </x:c>
      <x:c r="M44" s="11" t="n">
        <x:f>IF(COUNT($B$5:$B$7)=3,K44-L44,"")</x:f>
        <x:v>15335.190000000002</x:v>
      </x:c>
    </x:row>
    <x:row r="45" ht="23" customHeight="1">
      <x:c r="A45" s="22" t="str">
        <x:f>Produccion!A73</x:f>
        <x:v>PR034R</x:v>
      </x:c>
      <x:c r="B45" s="23" t="n">
        <x:f>Produccion!B73</x:f>
        <x:v>46266</x:v>
      </x:c>
      <x:c r="C45" s="22" t="str">
        <x:f>Produccion!C73</x:f>
        <x:v>Cebo</x:v>
      </x:c>
      <x:c r="D45" s="24" t="n">
        <x:f>Produccion!E73</x:f>
        <x:v>1747</x:v>
      </x:c>
      <x:c r="E45" s="11" t="n">
        <x:f>IF(COUNT($B$5:$B$7)=3,D45*(1+$B$6),"")</x:f>
        <x:v>1747</x:v>
      </x:c>
      <x:c r="F45" s="24" t="n">
        <x:f>Produccion!F73</x:f>
        <x:v>269.35</x:v>
      </x:c>
      <x:c r="G45" s="11" t="n">
        <x:f>IF(COUNT($B$5:$B$7)=3,F45*(1+$B$5),"")</x:f>
        <x:v>269.35</x:v>
      </x:c>
      <x:c r="H45" s="24" t="n">
        <x:f>SUM(Produccion!G73:H73)</x:f>
        <x:v>40</x:v>
      </x:c>
      <x:c r="I45" s="24" t="n">
        <x:f>Produccion!I73</x:f>
        <x:v>339.57</x:v>
      </x:c>
      <x:c r="J45" s="11" t="n">
        <x:f>IF(COUNT($B$5:$B$7)=3,I45*(1+$B$7),"")</x:f>
        <x:v>339.57</x:v>
      </x:c>
      <x:c r="K45" s="11" t="n">
        <x:f>IF(COUNT($B$5:$B$7)=3,E45*J45,"")</x:f>
        <x:v>593228.79</x:v>
      </x:c>
      <x:c r="L45" s="11" t="n">
        <x:f>IF(COUNT($B$5:$B$7)=3,E45*(G45+H45),"")</x:f>
        <x:v>540434.4500000001</x:v>
      </x:c>
      <x:c r="M45" s="11" t="n">
        <x:f>IF(COUNT($B$5:$B$7)=3,K45-L45,"")</x:f>
        <x:v>52794.33999999997</x:v>
      </x:c>
    </x:row>
    <x:row r="46" ht="23" customHeight="1">
      <x:c r="A46" s="22" t="str">
        <x:f>Produccion!A75</x:f>
        <x:v>PR035R</x:v>
      </x:c>
      <x:c r="B46" s="23" t="n">
        <x:f>Produccion!B75</x:f>
        <x:v>46266</x:v>
      </x:c>
      <x:c r="C46" s="22" t="str">
        <x:f>Produccion!C75</x:f>
        <x:v>Gestacion</x:v>
      </x:c>
      <x:c r="D46" s="24" t="n">
        <x:f>Produccion!E75</x:f>
        <x:v>899</x:v>
      </x:c>
      <x:c r="E46" s="11" t="n">
        <x:f>IF(COUNT($B$5:$B$7)=3,D46*(1+$B$6),"")</x:f>
        <x:v>899</x:v>
      </x:c>
      <x:c r="F46" s="24" t="n">
        <x:f>Produccion!F75</x:f>
        <x:v>256.82</x:v>
      </x:c>
      <x:c r="G46" s="11" t="n">
        <x:f>IF(COUNT($B$5:$B$7)=3,F46*(1+$B$5),"")</x:f>
        <x:v>256.82</x:v>
      </x:c>
      <x:c r="H46" s="24" t="n">
        <x:f>SUM(Produccion!G75:H75)</x:f>
        <x:v>35</x:v>
      </x:c>
      <x:c r="I46" s="24" t="n">
        <x:f>Produccion!I75</x:f>
        <x:v>323</x:v>
      </x:c>
      <x:c r="J46" s="11" t="n">
        <x:f>IF(COUNT($B$5:$B$7)=3,I46*(1+$B$7),"")</x:f>
        <x:v>323</x:v>
      </x:c>
      <x:c r="K46" s="11" t="n">
        <x:f>IF(COUNT($B$5:$B$7)=3,E46*J46,"")</x:f>
        <x:v>290377</x:v>
      </x:c>
      <x:c r="L46" s="11" t="n">
        <x:f>IF(COUNT($B$5:$B$7)=3,E46*(G46+H46),"")</x:f>
        <x:v>262346.18</x:v>
      </x:c>
      <x:c r="M46" s="11" t="n">
        <x:f>IF(COUNT($B$5:$B$7)=3,K46-L46,"")</x:f>
        <x:v>28030.820000000007</x:v>
      </x:c>
    </x:row>
    <x:row r="47" ht="23" customHeight="1">
      <x:c r="A47" s="22" t="str">
        <x:f>Produccion!A77</x:f>
        <x:v>PR036R</x:v>
      </x:c>
      <x:c r="B47" s="23" t="n">
        <x:f>Produccion!B77</x:f>
        <x:v>46266</x:v>
      </x:c>
      <x:c r="C47" s="22" t="str">
        <x:f>Produccion!C77</x:f>
        <x:v>Lactacion</x:v>
      </x:c>
      <x:c r="D47" s="24" t="n">
        <x:f>Produccion!E77</x:f>
        <x:v>696</x:v>
      </x:c>
      <x:c r="E47" s="11" t="n">
        <x:f>IF(COUNT($B$5:$B$7)=3,D47*(1+$B$6),"")</x:f>
        <x:v>696</x:v>
      </x:c>
      <x:c r="F47" s="24" t="n">
        <x:f>Produccion!F77</x:f>
        <x:v>312.58</x:v>
      </x:c>
      <x:c r="G47" s="11" t="n">
        <x:f>IF(COUNT($B$5:$B$7)=3,F47*(1+$B$5),"")</x:f>
        <x:v>312.58</x:v>
      </x:c>
      <x:c r="H47" s="24" t="n">
        <x:f>SUM(Produccion!G77:H77)</x:f>
        <x:v>46</x:v>
      </x:c>
      <x:c r="I47" s="24" t="n">
        <x:f>Produccion!I77</x:f>
        <x:v>376.73</x:v>
      </x:c>
      <x:c r="J47" s="11" t="n">
        <x:f>IF(COUNT($B$5:$B$7)=3,I47*(1+$B$7),"")</x:f>
        <x:v>376.73</x:v>
      </x:c>
      <x:c r="K47" s="11" t="n">
        <x:f>IF(COUNT($B$5:$B$7)=3,E47*J47,"")</x:f>
        <x:v>262204.08</x:v>
      </x:c>
      <x:c r="L47" s="11" t="n">
        <x:f>IF(COUNT($B$5:$B$7)=3,E47*(G47+H47),"")</x:f>
        <x:v>249571.68</x:v>
      </x:c>
      <x:c r="M47" s="11" t="n">
        <x:f>IF(COUNT($B$5:$B$7)=3,K47-L47,"")</x:f>
        <x:v>12632.400000000023</x:v>
      </x:c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</x:sheetData>
  <x:dataValidations count="1">
    <x:dataValidation type="decimal" operator="between" sqref="B5:B7">
      <x:formula1>-0.5</x:formula1>
      <x:formula2>0.5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CD7D1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Produccion de piensos. Datos ficticios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Enero-septiembre 2026. Fuente: datos inventados para el taller. No son cifras de Mazana.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4" t="str">
        <x:v>Supuesto: producido = vendido. Solo costes variables. Sin existencias, costes fijos, financiacion o impuestos.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42" customHeight="1">
      <x:c r="A5" s="8" t="str">
        <x:v>Registro</x:v>
      </x:c>
      <x:c r="B5" s="8" t="str">
        <x:v>Mes</x:v>
      </x:c>
      <x:c r="C5" s="8" t="str">
        <x:v>Familia</x:v>
      </x:c>
      <x:c r="D5" s="8" t="str">
        <x:v>Tipo</x:v>
      </x:c>
      <x:c r="E5" s="8" t="str">
        <x:v>Volumen (t)</x:v>
      </x:c>
      <x:c r="F5" s="8" t="str">
        <x:v>Materias primas (€/t)</x:v>
      </x:c>
      <x:c r="G5" s="8" t="str">
        <x:v>Fabricacion (€/t)</x:v>
      </x:c>
      <x:c r="H5" s="8" t="str">
        <x:v>Transporte (€/t)</x:v>
      </x:c>
      <x:c r="I5" s="8" t="str">
        <x:v>Venta (€/t)</x:v>
      </x:c>
      <x:c r="J5" s="8" t="str">
        <x:v>Ventas (€)</x:v>
      </x:c>
      <x:c r="K5" s="8" t="str">
        <x:v>Coste variable (€)</x:v>
      </x:c>
      <x:c r="L5" s="8" t="str">
        <x:v>Margen contrib. (€)</x:v>
      </x:c>
    </x:row>
    <x:row r="6" ht="23" customHeight="1">
      <x:c r="A6" s="2" t="str">
        <x:v>PR001P</x:v>
      </x:c>
      <x:c r="B6" s="9" t="d">
        <x:v>2026-01-01T00:00:00.000Z</x:v>
      </x:c>
      <x:c r="C6" s="2" t="str">
        <x:v>Transicion</x:v>
      </x:c>
      <x:c r="D6" s="2" t="str">
        <x:v>Presupuesto</x:v>
      </x:c>
      <x:c r="E6" s="12" t="n">
        <x:v>414</x:v>
      </x:c>
      <x:c r="F6" s="13" t="n">
        <x:v>330</x:v>
      </x:c>
      <x:c r="G6" s="13" t="n">
        <x:v>32</x:v>
      </x:c>
      <x:c r="H6" s="13" t="n">
        <x:v>14</x:v>
      </x:c>
      <x:c r="I6" s="13" t="n">
        <x:v>425</x:v>
      </x:c>
      <x:c r="J6" s="11" t="n">
        <x:f>E6*I6</x:f>
        <x:v>175950</x:v>
      </x:c>
      <x:c r="K6" s="11" t="n">
        <x:f>E6*SUM(F6:H6)</x:f>
        <x:v>155664</x:v>
      </x:c>
      <x:c r="L6" s="11" t="n">
        <x:f>J6-K6</x:f>
        <x:v>20286</x:v>
      </x:c>
    </x:row>
    <x:row r="7" ht="23" customHeight="1">
      <x:c r="A7" s="2" t="str">
        <x:v>PR001R</x:v>
      </x:c>
      <x:c r="B7" s="9" t="d">
        <x:v>2026-01-01T00:00:00.000Z</x:v>
      </x:c>
      <x:c r="C7" s="2" t="str">
        <x:v>Transicion</x:v>
      </x:c>
      <x:c r="D7" s="2" t="str">
        <x:v>Real</x:v>
      </x:c>
      <x:c r="E7" s="12" t="n">
        <x:v>397</x:v>
      </x:c>
      <x:c r="F7" s="13" t="n">
        <x:v>336.6</x:v>
      </x:c>
      <x:c r="G7" s="13" t="n">
        <x:v>34</x:v>
      </x:c>
      <x:c r="H7" s="13" t="n">
        <x:v>14</x:v>
      </x:c>
      <x:c r="I7" s="13" t="n">
        <x:v>420.75</x:v>
      </x:c>
      <x:c r="J7" s="11" t="n">
        <x:f>E7*I7</x:f>
        <x:v>167037.75</x:v>
      </x:c>
      <x:c r="K7" s="11" t="n">
        <x:f>E7*SUM(F7:H7)</x:f>
        <x:v>152686.2</x:v>
      </x:c>
      <x:c r="L7" s="11" t="n">
        <x:f>J7-K7</x:f>
        <x:v>14351.549999999988</x:v>
      </x:c>
    </x:row>
    <x:row r="8" ht="23" customHeight="1">
      <x:c r="A8" s="2" t="str">
        <x:v>PR002P</x:v>
      </x:c>
      <x:c r="B8" s="9" t="d">
        <x:v>2026-01-01T00:00:00.000Z</x:v>
      </x:c>
      <x:c r="C8" s="2" t="str">
        <x:v>Cebo</x:v>
      </x:c>
      <x:c r="D8" s="2" t="str">
        <x:v>Presupuesto</x:v>
      </x:c>
      <x:c r="E8" s="12" t="n">
        <x:v>1472</x:v>
      </x:c>
      <x:c r="F8" s="13" t="n">
        <x:v>245</x:v>
      </x:c>
      <x:c r="G8" s="13" t="n">
        <x:v>26</x:v>
      </x:c>
      <x:c r="H8" s="13" t="n">
        <x:v>12</x:v>
      </x:c>
      <x:c r="I8" s="13" t="n">
        <x:v>335</x:v>
      </x:c>
      <x:c r="J8" s="11" t="n">
        <x:f>E8*I8</x:f>
        <x:v>493120</x:v>
      </x:c>
      <x:c r="K8" s="11" t="n">
        <x:f>E8*SUM(F8:H8)</x:f>
        <x:v>416576</x:v>
      </x:c>
      <x:c r="L8" s="11" t="n">
        <x:f>J8-K8</x:f>
        <x:v>76544</x:v>
      </x:c>
    </x:row>
    <x:row r="9" ht="23" customHeight="1">
      <x:c r="A9" s="2" t="str">
        <x:v>PR002R</x:v>
      </x:c>
      <x:c r="B9" s="9" t="d">
        <x:v>2026-01-01T00:00:00.000Z</x:v>
      </x:c>
      <x:c r="C9" s="2" t="str">
        <x:v>Cebo</x:v>
      </x:c>
      <x:c r="D9" s="2" t="str">
        <x:v>Real</x:v>
      </x:c>
      <x:c r="E9" s="12" t="n">
        <x:v>1516</x:v>
      </x:c>
      <x:c r="F9" s="13" t="n">
        <x:v>252.84</x:v>
      </x:c>
      <x:c r="G9" s="13" t="n">
        <x:v>25</x:v>
      </x:c>
      <x:c r="H9" s="13" t="n">
        <x:v>13</x:v>
      </x:c>
      <x:c r="I9" s="13" t="n">
        <x:v>335</x:v>
      </x:c>
      <x:c r="J9" s="11" t="n">
        <x:f>E9*I9</x:f>
        <x:v>507860</x:v>
      </x:c>
      <x:c r="K9" s="11" t="n">
        <x:f>E9*SUM(F9:H9)</x:f>
        <x:v>440913.44000000006</x:v>
      </x:c>
      <x:c r="L9" s="11" t="n">
        <x:f>J9-K9</x:f>
        <x:v>66946.55999999994</x:v>
      </x:c>
    </x:row>
    <x:row r="10" ht="23" customHeight="1">
      <x:c r="A10" s="2" t="str">
        <x:v>PR003P</x:v>
      </x:c>
      <x:c r="B10" s="9" t="d">
        <x:v>2026-01-01T00:00:00.000Z</x:v>
      </x:c>
      <x:c r="C10" s="2" t="str">
        <x:v>Gestacion</x:v>
      </x:c>
      <x:c r="D10" s="2" t="str">
        <x:v>Presupuesto</x:v>
      </x:c>
      <x:c r="E10" s="12" t="n">
        <x:v>828</x:v>
      </x:c>
      <x:c r="F10" s="13" t="n">
        <x:v>230</x:v>
      </x:c>
      <x:c r="G10" s="13" t="n">
        <x:v>24</x:v>
      </x:c>
      <x:c r="H10" s="13" t="n">
        <x:v>11</x:v>
      </x:c>
      <x:c r="I10" s="13" t="n">
        <x:v>315</x:v>
      </x:c>
      <x:c r="J10" s="11" t="n">
        <x:f>E10*I10</x:f>
        <x:v>260820</x:v>
      </x:c>
      <x:c r="K10" s="11" t="n">
        <x:f>E10*SUM(F10:H10)</x:f>
        <x:v>219420</x:v>
      </x:c>
      <x:c r="L10" s="11" t="n">
        <x:f>J10-K10</x:f>
        <x:v>41400</x:v>
      </x:c>
    </x:row>
    <x:row r="11" ht="23" customHeight="1">
      <x:c r="A11" s="2" t="str">
        <x:v>PR003R</x:v>
      </x:c>
      <x:c r="B11" s="9" t="d">
        <x:v>2026-01-01T00:00:00.000Z</x:v>
      </x:c>
      <x:c r="C11" s="2" t="str">
        <x:v>Gestacion</x:v>
      </x:c>
      <x:c r="D11" s="2" t="str">
        <x:v>Real</x:v>
      </x:c>
      <x:c r="E11" s="12" t="n">
        <x:v>886</x:v>
      </x:c>
      <x:c r="F11" s="13" t="n">
        <x:v>240.12</x:v>
      </x:c>
      <x:c r="G11" s="13" t="n">
        <x:v>27</x:v>
      </x:c>
      <x:c r="H11" s="13" t="n">
        <x:v>13</x:v>
      </x:c>
      <x:c r="I11" s="13" t="n">
        <x:v>318.15</x:v>
      </x:c>
      <x:c r="J11" s="11" t="n">
        <x:f>E11*I11</x:f>
        <x:v>281880.89999999997</x:v>
      </x:c>
      <x:c r="K11" s="11" t="n">
        <x:f>E11*SUM(F11:H11)</x:f>
        <x:v>248186.32</x:v>
      </x:c>
      <x:c r="L11" s="11" t="n">
        <x:f>J11-K11</x:f>
        <x:v>33694.57999999996</x:v>
      </x:c>
    </x:row>
    <x:row r="12" ht="23" customHeight="1">
      <x:c r="A12" s="2" t="str">
        <x:v>PR004P</x:v>
      </x:c>
      <x:c r="B12" s="9" t="d">
        <x:v>2026-01-01T00:00:00.000Z</x:v>
      </x:c>
      <x:c r="C12" s="2" t="str">
        <x:v>Lactacion</x:v>
      </x:c>
      <x:c r="D12" s="2" t="str">
        <x:v>Presupuesto</x:v>
      </x:c>
      <x:c r="E12" s="12" t="n">
        <x:v>598</x:v>
      </x:c>
      <x:c r="F12" s="13" t="n">
        <x:v>280</x:v>
      </x:c>
      <x:c r="G12" s="13" t="n">
        <x:v>28</x:v>
      </x:c>
      <x:c r="H12" s="13" t="n">
        <x:v>13</x:v>
      </x:c>
      <x:c r="I12" s="13" t="n">
        <x:v>365</x:v>
      </x:c>
      <x:c r="J12" s="11" t="n">
        <x:f>E12*I12</x:f>
        <x:v>218270</x:v>
      </x:c>
      <x:c r="K12" s="11" t="n">
        <x:f>E12*SUM(F12:H12)</x:f>
        <x:v>191958</x:v>
      </x:c>
      <x:c r="L12" s="11" t="n">
        <x:f>J12-K12</x:f>
        <x:v>26312</x:v>
      </x:c>
    </x:row>
    <x:row r="13" ht="23" customHeight="1">
      <x:c r="A13" s="2" t="str">
        <x:v>PR004R</x:v>
      </x:c>
      <x:c r="B13" s="9" t="d">
        <x:v>2026-01-01T00:00:00.000Z</x:v>
      </x:c>
      <x:c r="C13" s="2" t="str">
        <x:v>Lactacion</x:v>
      </x:c>
      <x:c r="D13" s="2" t="str">
        <x:v>Real</x:v>
      </x:c>
      <x:c r="E13" s="12" t="n">
        <x:v>586</x:v>
      </x:c>
      <x:c r="F13" s="13" t="n">
        <x:v>295.68</x:v>
      </x:c>
      <x:c r="G13" s="13" t="n">
        <x:v>30</x:v>
      </x:c>
      <x:c r="H13" s="13" t="n">
        <x:v>13</x:v>
      </x:c>
      <x:c r="I13" s="13" t="n">
        <x:v>361.35</x:v>
      </x:c>
      <x:c r="J13" s="11" t="n">
        <x:f>E13*I13</x:f>
        <x:v>211751.1</x:v>
      </x:c>
      <x:c r="K13" s="11" t="n">
        <x:f>E13*SUM(F13:H13)</x:f>
        <x:v>198466.48</x:v>
      </x:c>
      <x:c r="L13" s="11" t="n">
        <x:f>J13-K13</x:f>
        <x:v>13284.619999999995</x:v>
      </x:c>
    </x:row>
    <x:row r="14" ht="23" customHeight="1">
      <x:c r="A14" s="2" t="str">
        <x:v>PR005P</x:v>
      </x:c>
      <x:c r="B14" s="9" t="d">
        <x:v>2026-02-01T00:00:00.000Z</x:v>
      </x:c>
      <x:c r="C14" s="2" t="str">
        <x:v>Transicion</x:v>
      </x:c>
      <x:c r="D14" s="2" t="str">
        <x:v>Presupuesto</x:v>
      </x:c>
      <x:c r="E14" s="12" t="n">
        <x:v>428</x:v>
      </x:c>
      <x:c r="F14" s="13" t="n">
        <x:v>332</x:v>
      </x:c>
      <x:c r="G14" s="13" t="n">
        <x:v>32</x:v>
      </x:c>
      <x:c r="H14" s="13" t="n">
        <x:v>14</x:v>
      </x:c>
      <x:c r="I14" s="13" t="n">
        <x:v>426</x:v>
      </x:c>
      <x:c r="J14" s="11" t="n">
        <x:f>E14*I14</x:f>
        <x:v>182328</x:v>
      </x:c>
      <x:c r="K14" s="11" t="n">
        <x:f>E14*SUM(F14:H14)</x:f>
        <x:v>161784</x:v>
      </x:c>
      <x:c r="L14" s="11" t="n">
        <x:f>J14-K14</x:f>
        <x:v>20544</x:v>
      </x:c>
    </x:row>
    <x:row r="15" ht="23" customHeight="1">
      <x:c r="A15" s="2" t="str">
        <x:v>PR005R</x:v>
      </x:c>
      <x:c r="B15" s="9" t="d">
        <x:v>2026-02-01T00:00:00.000Z</x:v>
      </x:c>
      <x:c r="C15" s="2" t="str">
        <x:v>Transicion</x:v>
      </x:c>
      <x:c r="D15" s="2" t="str">
        <x:v>Real</x:v>
      </x:c>
      <x:c r="E15" s="12" t="n">
        <x:v>441</x:v>
      </x:c>
      <x:c r="F15" s="13" t="n">
        <x:v>342.62</x:v>
      </x:c>
      <x:c r="G15" s="13" t="n">
        <x:v>31</x:v>
      </x:c>
      <x:c r="H15" s="13" t="n">
        <x:v>15</x:v>
      </x:c>
      <x:c r="I15" s="13" t="n">
        <x:v>426</x:v>
      </x:c>
      <x:c r="J15" s="11" t="n">
        <x:f>E15*I15</x:f>
        <x:v>187866</x:v>
      </x:c>
      <x:c r="K15" s="11" t="n">
        <x:f>E15*SUM(F15:H15)</x:f>
        <x:v>171381.42</x:v>
      </x:c>
      <x:c r="L15" s="11" t="n">
        <x:f>J15-K15</x:f>
        <x:v>16484.579999999987</x:v>
      </x:c>
    </x:row>
    <x:row r="16" ht="23" customHeight="1">
      <x:c r="A16" s="2" t="str">
        <x:v>PR006P</x:v>
      </x:c>
      <x:c r="B16" s="9" t="d">
        <x:v>2026-02-01T00:00:00.000Z</x:v>
      </x:c>
      <x:c r="C16" s="2" t="str">
        <x:v>Cebo</x:v>
      </x:c>
      <x:c r="D16" s="2" t="str">
        <x:v>Presupuesto</x:v>
      </x:c>
      <x:c r="E16" s="12" t="n">
        <x:v>1520</x:v>
      </x:c>
      <x:c r="F16" s="13" t="n">
        <x:v>247</x:v>
      </x:c>
      <x:c r="G16" s="13" t="n">
        <x:v>26</x:v>
      </x:c>
      <x:c r="H16" s="13" t="n">
        <x:v>12</x:v>
      </x:c>
      <x:c r="I16" s="13" t="n">
        <x:v>336</x:v>
      </x:c>
      <x:c r="J16" s="11" t="n">
        <x:f>E16*I16</x:f>
        <x:v>510720</x:v>
      </x:c>
      <x:c r="K16" s="11" t="n">
        <x:f>E16*SUM(F16:H16)</x:f>
        <x:v>433200</x:v>
      </x:c>
      <x:c r="L16" s="11" t="n">
        <x:f>J16-K16</x:f>
        <x:v>77520</x:v>
      </x:c>
    </x:row>
    <x:row r="17" ht="23" customHeight="1">
      <x:c r="A17" s="2" t="str">
        <x:v>PR006R</x:v>
      </x:c>
      <x:c r="B17" s="9" t="d">
        <x:v>2026-02-01T00:00:00.000Z</x:v>
      </x:c>
      <x:c r="C17" s="2" t="str">
        <x:v>Cebo</x:v>
      </x:c>
      <x:c r="D17" s="2" t="str">
        <x:v>Real</x:v>
      </x:c>
      <x:c r="E17" s="12" t="n">
        <x:v>1626</x:v>
      </x:c>
      <x:c r="F17" s="13" t="n">
        <x:v>257.87</x:v>
      </x:c>
      <x:c r="G17" s="13" t="n">
        <x:v>29</x:v>
      </x:c>
      <x:c r="H17" s="13" t="n">
        <x:v>14</x:v>
      </x:c>
      <x:c r="I17" s="13" t="n">
        <x:v>339.36</x:v>
      </x:c>
      <x:c r="J17" s="11" t="n">
        <x:f>E17*I17</x:f>
        <x:v>551799.36</x:v>
      </x:c>
      <x:c r="K17" s="11" t="n">
        <x:f>E17*SUM(F17:H17)</x:f>
        <x:v>489214.62</x:v>
      </x:c>
      <x:c r="L17" s="11" t="n">
        <x:f>J17-K17</x:f>
        <x:v>62584.73999999999</x:v>
      </x:c>
    </x:row>
    <x:row r="18" ht="23" customHeight="1">
      <x:c r="A18" s="2" t="str">
        <x:v>PR007P</x:v>
      </x:c>
      <x:c r="B18" s="9" t="d">
        <x:v>2026-02-01T00:00:00.000Z</x:v>
      </x:c>
      <x:c r="C18" s="2" t="str">
        <x:v>Gestacion</x:v>
      </x:c>
      <x:c r="D18" s="2" t="str">
        <x:v>Presupuesto</x:v>
      </x:c>
      <x:c r="E18" s="12" t="n">
        <x:v>855</x:v>
      </x:c>
      <x:c r="F18" s="13" t="n">
        <x:v>232</x:v>
      </x:c>
      <x:c r="G18" s="13" t="n">
        <x:v>24</x:v>
      </x:c>
      <x:c r="H18" s="13" t="n">
        <x:v>11</x:v>
      </x:c>
      <x:c r="I18" s="13" t="n">
        <x:v>316</x:v>
      </x:c>
      <x:c r="J18" s="11" t="n">
        <x:f>E18*I18</x:f>
        <x:v>270180</x:v>
      </x:c>
      <x:c r="K18" s="11" t="n">
        <x:f>E18*SUM(F18:H18)</x:f>
        <x:v>228285</x:v>
      </x:c>
      <x:c r="L18" s="11" t="n">
        <x:f>J18-K18</x:f>
        <x:v>41895</x:v>
      </x:c>
    </x:row>
    <x:row r="19" ht="23" customHeight="1">
      <x:c r="A19" s="2" t="str">
        <x:v>PR007R</x:v>
      </x:c>
      <x:c r="B19" s="9" t="d">
        <x:v>2026-02-01T00:00:00.000Z</x:v>
      </x:c>
      <x:c r="C19" s="2" t="str">
        <x:v>Gestacion</x:v>
      </x:c>
      <x:c r="D19" s="2" t="str">
        <x:v>Real</x:v>
      </x:c>
      <x:c r="E19" s="12" t="n">
        <x:v>838</x:v>
      </x:c>
      <x:c r="F19" s="13" t="n">
        <x:v>244.99</x:v>
      </x:c>
      <x:c r="G19" s="13" t="n">
        <x:v>26</x:v>
      </x:c>
      <x:c r="H19" s="13" t="n">
        <x:v>11</x:v>
      </x:c>
      <x:c r="I19" s="13" t="n">
        <x:v>312.84</x:v>
      </x:c>
      <x:c r="J19" s="11" t="n">
        <x:f>E19*I19</x:f>
        <x:v>262159.92</x:v>
      </x:c>
      <x:c r="K19" s="11" t="n">
        <x:f>E19*SUM(F19:H19)</x:f>
        <x:v>236307.62</x:v>
      </x:c>
      <x:c r="L19" s="11" t="n">
        <x:f>J19-K19</x:f>
        <x:v>25852.29999999999</x:v>
      </x:c>
    </x:row>
    <x:row r="20" ht="23" customHeight="1">
      <x:c r="A20" s="2" t="str">
        <x:v>PR008P</x:v>
      </x:c>
      <x:c r="B20" s="9" t="d">
        <x:v>2026-02-01T00:00:00.000Z</x:v>
      </x:c>
      <x:c r="C20" s="2" t="str">
        <x:v>Lactacion</x:v>
      </x:c>
      <x:c r="D20" s="2" t="str">
        <x:v>Presupuesto</x:v>
      </x:c>
      <x:c r="E20" s="12" t="n">
        <x:v>618</x:v>
      </x:c>
      <x:c r="F20" s="13" t="n">
        <x:v>282</x:v>
      </x:c>
      <x:c r="G20" s="13" t="n">
        <x:v>28</x:v>
      </x:c>
      <x:c r="H20" s="13" t="n">
        <x:v>13</x:v>
      </x:c>
      <x:c r="I20" s="13" t="n">
        <x:v>366</x:v>
      </x:c>
      <x:c r="J20" s="11" t="n">
        <x:f>E20*I20</x:f>
        <x:v>226188</x:v>
      </x:c>
      <x:c r="K20" s="11" t="n">
        <x:f>E20*SUM(F20:H20)</x:f>
        <x:v>199614</x:v>
      </x:c>
      <x:c r="L20" s="11" t="n">
        <x:f>J20-K20</x:f>
        <x:v>26574</x:v>
      </x:c>
    </x:row>
    <x:row r="21" ht="23" customHeight="1">
      <x:c r="A21" s="2" t="str">
        <x:v>PR008R</x:v>
      </x:c>
      <x:c r="B21" s="9" t="d">
        <x:v>2026-02-01T00:00:00.000Z</x:v>
      </x:c>
      <x:c r="C21" s="2" t="str">
        <x:v>Lactacion</x:v>
      </x:c>
      <x:c r="D21" s="2" t="str">
        <x:v>Real</x:v>
      </x:c>
      <x:c r="E21" s="12" t="n">
        <x:v>649</x:v>
      </x:c>
      <x:c r="F21" s="13" t="n">
        <x:v>287.64</x:v>
      </x:c>
      <x:c r="G21" s="13" t="n">
        <x:v>27</x:v>
      </x:c>
      <x:c r="H21" s="13" t="n">
        <x:v>14</x:v>
      </x:c>
      <x:c r="I21" s="13" t="n">
        <x:v>366</x:v>
      </x:c>
      <x:c r="J21" s="11" t="n">
        <x:f>E21*I21</x:f>
        <x:v>237534</x:v>
      </x:c>
      <x:c r="K21" s="11" t="n">
        <x:f>E21*SUM(F21:H21)</x:f>
        <x:v>213287.36</x:v>
      </x:c>
      <x:c r="L21" s="11" t="n">
        <x:f>J21-K21</x:f>
        <x:v>24246.640000000014</x:v>
      </x:c>
    </x:row>
    <x:row r="22" ht="23" customHeight="1">
      <x:c r="A22" s="2" t="str">
        <x:v>PR009P</x:v>
      </x:c>
      <x:c r="B22" s="9" t="d">
        <x:v>2026-03-01T00:00:00.000Z</x:v>
      </x:c>
      <x:c r="C22" s="2" t="str">
        <x:v>Transicion</x:v>
      </x:c>
      <x:c r="D22" s="2" t="str">
        <x:v>Presupuesto</x:v>
      </x:c>
      <x:c r="E22" s="12" t="n">
        <x:v>459</x:v>
      </x:c>
      <x:c r="F22" s="13" t="n">
        <x:v>334</x:v>
      </x:c>
      <x:c r="G22" s="13" t="n">
        <x:v>32</x:v>
      </x:c>
      <x:c r="H22" s="13" t="n">
        <x:v>14</x:v>
      </x:c>
      <x:c r="I22" s="13" t="n">
        <x:v>427</x:v>
      </x:c>
      <x:c r="J22" s="11" t="n">
        <x:f>E22*I22</x:f>
        <x:v>195993</x:v>
      </x:c>
      <x:c r="K22" s="11" t="n">
        <x:f>E22*SUM(F22:H22)</x:f>
        <x:v>174420</x:v>
      </x:c>
      <x:c r="L22" s="11" t="n">
        <x:f>J22-K22</x:f>
        <x:v>21573</x:v>
      </x:c>
    </x:row>
    <x:row r="23" ht="23" customHeight="1">
      <x:c r="A23" s="2" t="str">
        <x:v>PR009R</x:v>
      </x:c>
      <x:c r="B23" s="9" t="d">
        <x:v>2026-03-01T00:00:00.000Z</x:v>
      </x:c>
      <x:c r="C23" s="2" t="str">
        <x:v>Transicion</x:v>
      </x:c>
      <x:c r="D23" s="2" t="str">
        <x:v>Real</x:v>
      </x:c>
      <x:c r="E23" s="12" t="n">
        <x:v>491</x:v>
      </x:c>
      <x:c r="F23" s="13" t="n">
        <x:v>348.7</x:v>
      </x:c>
      <x:c r="G23" s="13" t="n">
        <x:v>35</x:v>
      </x:c>
      <x:c r="H23" s="13" t="n">
        <x:v>16</x:v>
      </x:c>
      <x:c r="I23" s="13" t="n">
        <x:v>431.27</x:v>
      </x:c>
      <x:c r="J23" s="11" t="n">
        <x:f>E23*I23</x:f>
        <x:v>211753.56999999998</x:v>
      </x:c>
      <x:c r="K23" s="11" t="n">
        <x:f>E23*SUM(F23:H23)</x:f>
        <x:v>196252.69999999998</x:v>
      </x:c>
      <x:c r="L23" s="11" t="n">
        <x:f>J23-K23</x:f>
        <x:v>15500.869999999995</x:v>
      </x:c>
    </x:row>
    <x:row r="24" ht="23" customHeight="1">
      <x:c r="A24" s="2" t="str">
        <x:v>PR010P</x:v>
      </x:c>
      <x:c r="B24" s="9" t="d">
        <x:v>2026-03-01T00:00:00.000Z</x:v>
      </x:c>
      <x:c r="C24" s="2" t="str">
        <x:v>Cebo</x:v>
      </x:c>
      <x:c r="D24" s="2" t="str">
        <x:v>Presupuesto</x:v>
      </x:c>
      <x:c r="E24" s="12" t="n">
        <x:v>1632</x:v>
      </x:c>
      <x:c r="F24" s="13" t="n">
        <x:v>249</x:v>
      </x:c>
      <x:c r="G24" s="13" t="n">
        <x:v>26</x:v>
      </x:c>
      <x:c r="H24" s="13" t="n">
        <x:v>12</x:v>
      </x:c>
      <x:c r="I24" s="13" t="n">
        <x:v>337</x:v>
      </x:c>
      <x:c r="J24" s="11" t="n">
        <x:f>E24*I24</x:f>
        <x:v>549984</x:v>
      </x:c>
      <x:c r="K24" s="11" t="n">
        <x:f>E24*SUM(F24:H24)</x:f>
        <x:v>468384</x:v>
      </x:c>
      <x:c r="L24" s="11" t="n">
        <x:f>J24-K24</x:f>
        <x:v>81600</x:v>
      </x:c>
    </x:row>
    <x:row r="25" ht="23" customHeight="1">
      <x:c r="A25" s="2" t="str">
        <x:v>PR010R</x:v>
      </x:c>
      <x:c r="B25" s="9" t="d">
        <x:v>2026-03-01T00:00:00.000Z</x:v>
      </x:c>
      <x:c r="C25" s="2" t="str">
        <x:v>Cebo</x:v>
      </x:c>
      <x:c r="D25" s="2" t="str">
        <x:v>Real</x:v>
      </x:c>
      <x:c r="E25" s="12" t="n">
        <x:v>1599</x:v>
      </x:c>
      <x:c r="F25" s="13" t="n">
        <x:v>262.94</x:v>
      </x:c>
      <x:c r="G25" s="13" t="n">
        <x:v>28</x:v>
      </x:c>
      <x:c r="H25" s="13" t="n">
        <x:v>12</x:v>
      </x:c>
      <x:c r="I25" s="13" t="n">
        <x:v>333.63</x:v>
      </x:c>
      <x:c r="J25" s="11" t="n">
        <x:f>E25*I25</x:f>
        <x:v>533474.37</x:v>
      </x:c>
      <x:c r="K25" s="11" t="n">
        <x:f>E25*SUM(F25:H25)</x:f>
        <x:v>484401.06</x:v>
      </x:c>
      <x:c r="L25" s="11" t="n">
        <x:f>J25-K25</x:f>
        <x:v>49073.31</x:v>
      </x:c>
    </x:row>
    <x:row r="26" ht="23" customHeight="1">
      <x:c r="A26" s="2" t="str">
        <x:v>PR011P</x:v>
      </x:c>
      <x:c r="B26" s="9" t="d">
        <x:v>2026-03-01T00:00:00.000Z</x:v>
      </x:c>
      <x:c r="C26" s="2" t="str">
        <x:v>Gestacion</x:v>
      </x:c>
      <x:c r="D26" s="2" t="str">
        <x:v>Presupuesto</x:v>
      </x:c>
      <x:c r="E26" s="12" t="n">
        <x:v>918</x:v>
      </x:c>
      <x:c r="F26" s="13" t="n">
        <x:v>234</x:v>
      </x:c>
      <x:c r="G26" s="13" t="n">
        <x:v>24</x:v>
      </x:c>
      <x:c r="H26" s="13" t="n">
        <x:v>11</x:v>
      </x:c>
      <x:c r="I26" s="13" t="n">
        <x:v>317</x:v>
      </x:c>
      <x:c r="J26" s="11" t="n">
        <x:f>E26*I26</x:f>
        <x:v>291006</x:v>
      </x:c>
      <x:c r="K26" s="11" t="n">
        <x:f>E26*SUM(F26:H26)</x:f>
        <x:v>246942</x:v>
      </x:c>
      <x:c r="L26" s="11" t="n">
        <x:f>J26-K26</x:f>
        <x:v>44064</x:v>
      </x:c>
    </x:row>
    <x:row r="27" ht="23" customHeight="1">
      <x:c r="A27" s="2" t="str">
        <x:v>PR011R</x:v>
      </x:c>
      <x:c r="B27" s="9" t="d">
        <x:v>2026-03-01T00:00:00.000Z</x:v>
      </x:c>
      <x:c r="C27" s="2" t="str">
        <x:v>Gestacion</x:v>
      </x:c>
      <x:c r="D27" s="2" t="str">
        <x:v>Real</x:v>
      </x:c>
      <x:c r="E27" s="12" t="n">
        <x:v>964</x:v>
      </x:c>
      <x:c r="F27" s="13" t="n">
        <x:v>238.68</x:v>
      </x:c>
      <x:c r="G27" s="13" t="n">
        <x:v>23</x:v>
      </x:c>
      <x:c r="H27" s="13" t="n">
        <x:v>12</x:v>
      </x:c>
      <x:c r="I27" s="13" t="n">
        <x:v>317</x:v>
      </x:c>
      <x:c r="J27" s="11" t="n">
        <x:f>E27*I27</x:f>
        <x:v>305588</x:v>
      </x:c>
      <x:c r="K27" s="11" t="n">
        <x:f>E27*SUM(F27:H27)</x:f>
        <x:v>263827.52</x:v>
      </x:c>
      <x:c r="L27" s="11" t="n">
        <x:f>J27-K27</x:f>
        <x:v>41760.47999999998</x:v>
      </x:c>
    </x:row>
    <x:row r="28" ht="23" customHeight="1">
      <x:c r="A28" s="2" t="str">
        <x:v>PR012P</x:v>
      </x:c>
      <x:c r="B28" s="9" t="d">
        <x:v>2026-03-01T00:00:00.000Z</x:v>
      </x:c>
      <x:c r="C28" s="2" t="str">
        <x:v>Lactacion</x:v>
      </x:c>
      <x:c r="D28" s="2" t="str">
        <x:v>Presupuesto</x:v>
      </x:c>
      <x:c r="E28" s="12" t="n">
        <x:v>663</x:v>
      </x:c>
      <x:c r="F28" s="13" t="n">
        <x:v>284</x:v>
      </x:c>
      <x:c r="G28" s="13" t="n">
        <x:v>28</x:v>
      </x:c>
      <x:c r="H28" s="13" t="n">
        <x:v>13</x:v>
      </x:c>
      <x:c r="I28" s="13" t="n">
        <x:v>367</x:v>
      </x:c>
      <x:c r="J28" s="11" t="n">
        <x:f>E28*I28</x:f>
        <x:v>243321</x:v>
      </x:c>
      <x:c r="K28" s="11" t="n">
        <x:f>E28*SUM(F28:H28)</x:f>
        <x:v>215475</x:v>
      </x:c>
      <x:c r="L28" s="11" t="n">
        <x:f>J28-K28</x:f>
        <x:v>27846</x:v>
      </x:c>
    </x:row>
    <x:row r="29" ht="23" customHeight="1">
      <x:c r="A29" s="2" t="str">
        <x:v>PR012R</x:v>
      </x:c>
      <x:c r="B29" s="9" t="d">
        <x:v>2026-03-01T00:00:00.000Z</x:v>
      </x:c>
      <x:c r="C29" s="2" t="str">
        <x:v>Lactacion</x:v>
      </x:c>
      <x:c r="D29" s="2" t="str">
        <x:v>Real</x:v>
      </x:c>
      <x:c r="E29" s="12" t="n">
        <x:v>636</x:v>
      </x:c>
      <x:c r="F29" s="13" t="n">
        <x:v>293.09</x:v>
      </x:c>
      <x:c r="G29" s="13" t="n">
        <x:v>31</x:v>
      </x:c>
      <x:c r="H29" s="13" t="n">
        <x:v>15</x:v>
      </x:c>
      <x:c r="I29" s="13" t="n">
        <x:v>370.67</x:v>
      </x:c>
      <x:c r="J29" s="11" t="n">
        <x:f>E29*I29</x:f>
        <x:v>235746.12000000002</x:v>
      </x:c>
      <x:c r="K29" s="11" t="n">
        <x:f>E29*SUM(F29:H29)</x:f>
        <x:v>215661.24</x:v>
      </x:c>
      <x:c r="L29" s="11" t="n">
        <x:f>J29-K29</x:f>
        <x:v>20084.880000000034</x:v>
      </x:c>
    </x:row>
    <x:row r="30" ht="23" customHeight="1">
      <x:c r="A30" s="2" t="str">
        <x:v>PR013P</x:v>
      </x:c>
      <x:c r="B30" s="9" t="d">
        <x:v>2026-04-01T00:00:00.000Z</x:v>
      </x:c>
      <x:c r="C30" s="2" t="str">
        <x:v>Transicion</x:v>
      </x:c>
      <x:c r="D30" s="2" t="str">
        <x:v>Presupuesto</x:v>
      </x:c>
      <x:c r="E30" s="12" t="n">
        <x:v>473</x:v>
      </x:c>
      <x:c r="F30" s="13" t="n">
        <x:v>336</x:v>
      </x:c>
      <x:c r="G30" s="13" t="n">
        <x:v>32</x:v>
      </x:c>
      <x:c r="H30" s="13" t="n">
        <x:v>14</x:v>
      </x:c>
      <x:c r="I30" s="13" t="n">
        <x:v>428</x:v>
      </x:c>
      <x:c r="J30" s="11" t="n">
        <x:f>E30*I30</x:f>
        <x:v>202444</x:v>
      </x:c>
      <x:c r="K30" s="11" t="n">
        <x:f>E30*SUM(F30:H30)</x:f>
        <x:v>180686</x:v>
      </x:c>
      <x:c r="L30" s="11" t="n">
        <x:f>J30-K30</x:f>
        <x:v>21758</x:v>
      </x:c>
    </x:row>
    <x:row r="31" ht="23" customHeight="1">
      <x:c r="A31" s="2" t="str">
        <x:v>PR013R</x:v>
      </x:c>
      <x:c r="B31" s="9" t="d">
        <x:v>2026-04-01T00:00:00.000Z</x:v>
      </x:c>
      <x:c r="C31" s="2" t="str">
        <x:v>Transicion</x:v>
      </x:c>
      <x:c r="D31" s="2" t="str">
        <x:v>Real</x:v>
      </x:c>
      <x:c r="E31" s="12" t="n">
        <x:v>464</x:v>
      </x:c>
      <x:c r="F31" s="13" t="n">
        <x:v>354.82</x:v>
      </x:c>
      <x:c r="G31" s="13" t="n">
        <x:v>34</x:v>
      </x:c>
      <x:c r="H31" s="13" t="n">
        <x:v>14</x:v>
      </x:c>
      <x:c r="I31" s="13" t="n">
        <x:v>423.72</x:v>
      </x:c>
      <x:c r="J31" s="11" t="n">
        <x:f>E31*I31</x:f>
        <x:v>196606.08000000002</x:v>
      </x:c>
      <x:c r="K31" s="11" t="n">
        <x:f>E31*SUM(F31:H31)</x:f>
        <x:v>186908.48</x:v>
      </x:c>
      <x:c r="L31" s="11" t="n">
        <x:f>J31-K31</x:f>
        <x:v>9697.600000000006</x:v>
      </x:c>
    </x:row>
    <x:row r="32" ht="23" customHeight="1">
      <x:c r="A32" s="2" t="str">
        <x:v>PR014P</x:v>
      </x:c>
      <x:c r="B32" s="9" t="d">
        <x:v>2026-04-01T00:00:00.000Z</x:v>
      </x:c>
      <x:c r="C32" s="2" t="str">
        <x:v>Cebo</x:v>
      </x:c>
      <x:c r="D32" s="2" t="str">
        <x:v>Presupuesto</x:v>
      </x:c>
      <x:c r="E32" s="12" t="n">
        <x:v>1680</x:v>
      </x:c>
      <x:c r="F32" s="13" t="n">
        <x:v>251</x:v>
      </x:c>
      <x:c r="G32" s="13" t="n">
        <x:v>26</x:v>
      </x:c>
      <x:c r="H32" s="13" t="n">
        <x:v>12</x:v>
      </x:c>
      <x:c r="I32" s="13" t="n">
        <x:v>338</x:v>
      </x:c>
      <x:c r="J32" s="11" t="n">
        <x:f>E32*I32</x:f>
        <x:v>567840</x:v>
      </x:c>
      <x:c r="K32" s="11" t="n">
        <x:f>E32*SUM(F32:H32)</x:f>
        <x:v>485520</x:v>
      </x:c>
      <x:c r="L32" s="11" t="n">
        <x:f>J32-K32</x:f>
        <x:v>82320</x:v>
      </x:c>
    </x:row>
    <x:row r="33" ht="23" customHeight="1">
      <x:c r="A33" s="2" t="str">
        <x:v>PR014R</x:v>
      </x:c>
      <x:c r="B33" s="9" t="d">
        <x:v>2026-04-01T00:00:00.000Z</x:v>
      </x:c>
      <x:c r="C33" s="2" t="str">
        <x:v>Cebo</x:v>
      </x:c>
      <x:c r="D33" s="2" t="str">
        <x:v>Real</x:v>
      </x:c>
      <x:c r="E33" s="12" t="n">
        <x:v>1764</x:v>
      </x:c>
      <x:c r="F33" s="13" t="n">
        <x:v>256.02</x:v>
      </x:c>
      <x:c r="G33" s="13" t="n">
        <x:v>25</x:v>
      </x:c>
      <x:c r="H33" s="13" t="n">
        <x:v>13</x:v>
      </x:c>
      <x:c r="I33" s="13" t="n">
        <x:v>338</x:v>
      </x:c>
      <x:c r="J33" s="11" t="n">
        <x:f>E33*I33</x:f>
        <x:v>596232</x:v>
      </x:c>
      <x:c r="K33" s="11" t="n">
        <x:f>E33*SUM(F33:H33)</x:f>
        <x:v>518651.27999999997</x:v>
      </x:c>
      <x:c r="L33" s="11" t="n">
        <x:f>J33-K33</x:f>
        <x:v>77580.72000000003</x:v>
      </x:c>
    </x:row>
    <x:row r="34" ht="23" customHeight="1">
      <x:c r="A34" s="2" t="str">
        <x:v>PR015P</x:v>
      </x:c>
      <x:c r="B34" s="9" t="d">
        <x:v>2026-04-01T00:00:00.000Z</x:v>
      </x:c>
      <x:c r="C34" s="2" t="str">
        <x:v>Gestacion</x:v>
      </x:c>
      <x:c r="D34" s="2" t="str">
        <x:v>Presupuesto</x:v>
      </x:c>
      <x:c r="E34" s="12" t="n">
        <x:v>945</x:v>
      </x:c>
      <x:c r="F34" s="13" t="n">
        <x:v>236</x:v>
      </x:c>
      <x:c r="G34" s="13" t="n">
        <x:v>24</x:v>
      </x:c>
      <x:c r="H34" s="13" t="n">
        <x:v>11</x:v>
      </x:c>
      <x:c r="I34" s="13" t="n">
        <x:v>318</x:v>
      </x:c>
      <x:c r="J34" s="11" t="n">
        <x:f>E34*I34</x:f>
        <x:v>300510</x:v>
      </x:c>
      <x:c r="K34" s="11" t="n">
        <x:f>E34*SUM(F34:H34)</x:f>
        <x:v>256095</x:v>
      </x:c>
      <x:c r="L34" s="11" t="n">
        <x:f>J34-K34</x:f>
        <x:v>44415</x:v>
      </x:c>
    </x:row>
    <x:row r="35" ht="23" customHeight="1">
      <x:c r="A35" s="2" t="str">
        <x:v>PR015R</x:v>
      </x:c>
      <x:c r="B35" s="9" t="d">
        <x:v>2026-04-01T00:00:00.000Z</x:v>
      </x:c>
      <x:c r="C35" s="2" t="str">
        <x:v>Gestacion</x:v>
      </x:c>
      <x:c r="D35" s="2" t="str">
        <x:v>Real</x:v>
      </x:c>
      <x:c r="E35" s="12" t="n">
        <x:v>907</x:v>
      </x:c>
      <x:c r="F35" s="13" t="n">
        <x:v>243.55</x:v>
      </x:c>
      <x:c r="G35" s="13" t="n">
        <x:v>27</x:v>
      </x:c>
      <x:c r="H35" s="13" t="n">
        <x:v>13</x:v>
      </x:c>
      <x:c r="I35" s="13" t="n">
        <x:v>321.18</x:v>
      </x:c>
      <x:c r="J35" s="11" t="n">
        <x:f>E35*I35</x:f>
        <x:v>291310.26</x:v>
      </x:c>
      <x:c r="K35" s="11" t="n">
        <x:f>E35*SUM(F35:H35)</x:f>
        <x:v>257179.85</x:v>
      </x:c>
      <x:c r="L35" s="11" t="n">
        <x:f>J35-K35</x:f>
        <x:v>34130.41</x:v>
      </x:c>
    </x:row>
    <x:row r="36" ht="23" customHeight="1">
      <x:c r="A36" s="2" t="str">
        <x:v>PR016P</x:v>
      </x:c>
      <x:c r="B36" s="9" t="d">
        <x:v>2026-04-01T00:00:00.000Z</x:v>
      </x:c>
      <x:c r="C36" s="2" t="str">
        <x:v>Lactacion</x:v>
      </x:c>
      <x:c r="D36" s="2" t="str">
        <x:v>Presupuesto</x:v>
      </x:c>
      <x:c r="E36" s="12" t="n">
        <x:v>683</x:v>
      </x:c>
      <x:c r="F36" s="13" t="n">
        <x:v>286</x:v>
      </x:c>
      <x:c r="G36" s="13" t="n">
        <x:v>28</x:v>
      </x:c>
      <x:c r="H36" s="13" t="n">
        <x:v>13</x:v>
      </x:c>
      <x:c r="I36" s="13" t="n">
        <x:v>368</x:v>
      </x:c>
      <x:c r="J36" s="11" t="n">
        <x:f>E36*I36</x:f>
        <x:v>251344</x:v>
      </x:c>
      <x:c r="K36" s="11" t="n">
        <x:f>E36*SUM(F36:H36)</x:f>
        <x:v>223341</x:v>
      </x:c>
      <x:c r="L36" s="11" t="n">
        <x:f>J36-K36</x:f>
        <x:v>28003</x:v>
      </x:c>
    </x:row>
    <x:row r="37" ht="23" customHeight="1">
      <x:c r="A37" s="2" t="str">
        <x:v>PR016R</x:v>
      </x:c>
      <x:c r="B37" s="9" t="d">
        <x:v>2026-04-01T00:00:00.000Z</x:v>
      </x:c>
      <x:c r="C37" s="2" t="str">
        <x:v>Lactacion</x:v>
      </x:c>
      <x:c r="D37" s="2" t="str">
        <x:v>Real</x:v>
      </x:c>
      <x:c r="E37" s="12" t="n">
        <x:v>703</x:v>
      </x:c>
      <x:c r="F37" s="13" t="n">
        <x:v>298.58</x:v>
      </x:c>
      <x:c r="G37" s="13" t="n">
        <x:v>30</x:v>
      </x:c>
      <x:c r="H37" s="13" t="n">
        <x:v>13</x:v>
      </x:c>
      <x:c r="I37" s="13" t="n">
        <x:v>364.32</x:v>
      </x:c>
      <x:c r="J37" s="11" t="n">
        <x:f>E37*I37</x:f>
        <x:v>256116.96</x:v>
      </x:c>
      <x:c r="K37" s="11" t="n">
        <x:f>E37*SUM(F37:H37)</x:f>
        <x:v>240130.74</x:v>
      </x:c>
      <x:c r="L37" s="11" t="n">
        <x:f>J37-K37</x:f>
        <x:v>15986.220000000001</x:v>
      </x:c>
    </x:row>
    <x:row r="38" ht="23" customHeight="1">
      <x:c r="A38" s="2" t="str">
        <x:v>PR017P</x:v>
      </x:c>
      <x:c r="B38" s="9" t="d">
        <x:v>2026-05-01T00:00:00.000Z</x:v>
      </x:c>
      <x:c r="C38" s="2" t="str">
        <x:v>Transicion</x:v>
      </x:c>
      <x:c r="D38" s="2" t="str">
        <x:v>Presupuesto</x:v>
      </x:c>
      <x:c r="E38" s="12" t="n">
        <x:v>486</x:v>
      </x:c>
      <x:c r="F38" s="13" t="n">
        <x:v>338</x:v>
      </x:c>
      <x:c r="G38" s="13" t="n">
        <x:v>32</x:v>
      </x:c>
      <x:c r="H38" s="13" t="n">
        <x:v>14</x:v>
      </x:c>
      <x:c r="I38" s="13" t="n">
        <x:v>429</x:v>
      </x:c>
      <x:c r="J38" s="11" t="n">
        <x:f>E38*I38</x:f>
        <x:v>208494</x:v>
      </x:c>
      <x:c r="K38" s="11" t="n">
        <x:f>E38*SUM(F38:H38)</x:f>
        <x:v>186624</x:v>
      </x:c>
      <x:c r="L38" s="11" t="n">
        <x:f>J38-K38</x:f>
        <x:v>21870</x:v>
      </x:c>
    </x:row>
    <x:row r="39" ht="23" customHeight="1">
      <x:c r="A39" s="2" t="str">
        <x:v>PR017R</x:v>
      </x:c>
      <x:c r="B39" s="9" t="d">
        <x:v>2026-05-01T00:00:00.000Z</x:v>
      </x:c>
      <x:c r="C39" s="2" t="str">
        <x:v>Transicion</x:v>
      </x:c>
      <x:c r="D39" s="2" t="str">
        <x:v>Real</x:v>
      </x:c>
      <x:c r="E39" s="12" t="n">
        <x:v>510</x:v>
      </x:c>
      <x:c r="F39" s="13" t="n">
        <x:v>344.76</x:v>
      </x:c>
      <x:c r="G39" s="13" t="n">
        <x:v>31</x:v>
      </x:c>
      <x:c r="H39" s="13" t="n">
        <x:v>15</x:v>
      </x:c>
      <x:c r="I39" s="13" t="n">
        <x:v>429</x:v>
      </x:c>
      <x:c r="J39" s="11" t="n">
        <x:f>E39*I39</x:f>
        <x:v>218790</x:v>
      </x:c>
      <x:c r="K39" s="11" t="n">
        <x:f>E39*SUM(F39:H39)</x:f>
        <x:v>199287.6</x:v>
      </x:c>
      <x:c r="L39" s="11" t="n">
        <x:f>J39-K39</x:f>
        <x:v>19502.399999999994</x:v>
      </x:c>
    </x:row>
    <x:row r="40" ht="23" customHeight="1">
      <x:c r="A40" s="2" t="str">
        <x:v>PR018P</x:v>
      </x:c>
      <x:c r="B40" s="9" t="d">
        <x:v>2026-05-01T00:00:00.000Z</x:v>
      </x:c>
      <x:c r="C40" s="2" t="str">
        <x:v>Cebo</x:v>
      </x:c>
      <x:c r="D40" s="2" t="str">
        <x:v>Presupuesto</x:v>
      </x:c>
      <x:c r="E40" s="12" t="n">
        <x:v>1728</x:v>
      </x:c>
      <x:c r="F40" s="13" t="n">
        <x:v>253</x:v>
      </x:c>
      <x:c r="G40" s="13" t="n">
        <x:v>26</x:v>
      </x:c>
      <x:c r="H40" s="13" t="n">
        <x:v>12</x:v>
      </x:c>
      <x:c r="I40" s="13" t="n">
        <x:v>339</x:v>
      </x:c>
      <x:c r="J40" s="11" t="n">
        <x:f>E40*I40</x:f>
        <x:v>585792</x:v>
      </x:c>
      <x:c r="K40" s="11" t="n">
        <x:f>E40*SUM(F40:H40)</x:f>
        <x:v>502848</x:v>
      </x:c>
      <x:c r="L40" s="11" t="n">
        <x:f>J40-K40</x:f>
        <x:v>82944</x:v>
      </x:c>
    </x:row>
    <x:row r="41" ht="23" customHeight="1">
      <x:c r="A41" s="2" t="str">
        <x:v>PR018R</x:v>
      </x:c>
      <x:c r="B41" s="9" t="d">
        <x:v>2026-05-01T00:00:00.000Z</x:v>
      </x:c>
      <x:c r="C41" s="2" t="str">
        <x:v>Cebo</x:v>
      </x:c>
      <x:c r="D41" s="2" t="str">
        <x:v>Real</x:v>
      </x:c>
      <x:c r="E41" s="12" t="n">
        <x:v>1659</x:v>
      </x:c>
      <x:c r="F41" s="13" t="n">
        <x:v>261.1</x:v>
      </x:c>
      <x:c r="G41" s="13" t="n">
        <x:v>29</x:v>
      </x:c>
      <x:c r="H41" s="13" t="n">
        <x:v>14</x:v>
      </x:c>
      <x:c r="I41" s="13" t="n">
        <x:v>342.39</x:v>
      </x:c>
      <x:c r="J41" s="11" t="n">
        <x:f>E41*I41</x:f>
        <x:v>568025.01</x:v>
      </x:c>
      <x:c r="K41" s="11" t="n">
        <x:f>E41*SUM(F41:H41)</x:f>
        <x:v>504501.9</x:v>
      </x:c>
      <x:c r="L41" s="11" t="n">
        <x:f>J41-K41</x:f>
        <x:v>63523.109999999986</x:v>
      </x:c>
    </x:row>
    <x:row r="42" ht="23" customHeight="1">
      <x:c r="A42" s="2" t="str">
        <x:v>PR019P</x:v>
      </x:c>
      <x:c r="B42" s="9" t="d">
        <x:v>2026-05-01T00:00:00.000Z</x:v>
      </x:c>
      <x:c r="C42" s="2" t="str">
        <x:v>Gestacion</x:v>
      </x:c>
      <x:c r="D42" s="2" t="str">
        <x:v>Presupuesto</x:v>
      </x:c>
      <x:c r="E42" s="12" t="n">
        <x:v>972</x:v>
      </x:c>
      <x:c r="F42" s="13" t="n">
        <x:v>238</x:v>
      </x:c>
      <x:c r="G42" s="13" t="n">
        <x:v>24</x:v>
      </x:c>
      <x:c r="H42" s="13" t="n">
        <x:v>11</x:v>
      </x:c>
      <x:c r="I42" s="13" t="n">
        <x:v>319</x:v>
      </x:c>
      <x:c r="J42" s="11" t="n">
        <x:f>E42*I42</x:f>
        <x:v>310068</x:v>
      </x:c>
      <x:c r="K42" s="11" t="n">
        <x:f>E42*SUM(F42:H42)</x:f>
        <x:v>265356</x:v>
      </x:c>
      <x:c r="L42" s="11" t="n">
        <x:f>J42-K42</x:f>
        <x:v>44712</x:v>
      </x:c>
    </x:row>
    <x:row r="43" ht="23" customHeight="1">
      <x:c r="A43" s="2" t="str">
        <x:v>PR019R</x:v>
      </x:c>
      <x:c r="B43" s="9" t="d">
        <x:v>2026-05-01T00:00:00.000Z</x:v>
      </x:c>
      <x:c r="C43" s="2" t="str">
        <x:v>Gestacion</x:v>
      </x:c>
      <x:c r="D43" s="2" t="str">
        <x:v>Real</x:v>
      </x:c>
      <x:c r="E43" s="12" t="n">
        <x:v>1001</x:v>
      </x:c>
      <x:c r="F43" s="13" t="n">
        <x:v>248.47</x:v>
      </x:c>
      <x:c r="G43" s="13" t="n">
        <x:v>26</x:v>
      </x:c>
      <x:c r="H43" s="13" t="n">
        <x:v>11</x:v>
      </x:c>
      <x:c r="I43" s="13" t="n">
        <x:v>315.81</x:v>
      </x:c>
      <x:c r="J43" s="11" t="n">
        <x:f>E43*I43</x:f>
        <x:v>316125.81</x:v>
      </x:c>
      <x:c r="K43" s="11" t="n">
        <x:f>E43*SUM(F43:H43)</x:f>
        <x:v>285755.47000000003</x:v>
      </x:c>
      <x:c r="L43" s="11" t="n">
        <x:f>J43-K43</x:f>
        <x:v>30370.339999999967</x:v>
      </x:c>
    </x:row>
    <x:row r="44" ht="23" customHeight="1">
      <x:c r="A44" s="2" t="str">
        <x:v>PR020P</x:v>
      </x:c>
      <x:c r="B44" s="9" t="d">
        <x:v>2026-05-01T00:00:00.000Z</x:v>
      </x:c>
      <x:c r="C44" s="2" t="str">
        <x:v>Lactacion</x:v>
      </x:c>
      <x:c r="D44" s="2" t="str">
        <x:v>Presupuesto</x:v>
      </x:c>
      <x:c r="E44" s="12" t="n">
        <x:v>702</x:v>
      </x:c>
      <x:c r="F44" s="13" t="n">
        <x:v>288</x:v>
      </x:c>
      <x:c r="G44" s="13" t="n">
        <x:v>28</x:v>
      </x:c>
      <x:c r="H44" s="13" t="n">
        <x:v>13</x:v>
      </x:c>
      <x:c r="I44" s="13" t="n">
        <x:v>369</x:v>
      </x:c>
      <x:c r="J44" s="11" t="n">
        <x:f>E44*I44</x:f>
        <x:v>259038</x:v>
      </x:c>
      <x:c r="K44" s="11" t="n">
        <x:f>E44*SUM(F44:H44)</x:f>
        <x:v>230958</x:v>
      </x:c>
      <x:c r="L44" s="11" t="n">
        <x:f>J44-K44</x:f>
        <x:v>28080</x:v>
      </x:c>
    </x:row>
    <x:row r="45" ht="23" customHeight="1">
      <x:c r="A45" s="2" t="str">
        <x:v>PR020R</x:v>
      </x:c>
      <x:c r="B45" s="9" t="d">
        <x:v>2026-05-01T00:00:00.000Z</x:v>
      </x:c>
      <x:c r="C45" s="2" t="str">
        <x:v>Lactacion</x:v>
      </x:c>
      <x:c r="D45" s="2" t="str">
        <x:v>Real</x:v>
      </x:c>
      <x:c r="E45" s="12" t="n">
        <x:v>751</x:v>
      </x:c>
      <x:c r="F45" s="13" t="n">
        <x:v>304.13</x:v>
      </x:c>
      <x:c r="G45" s="13" t="n">
        <x:v>27</x:v>
      </x:c>
      <x:c r="H45" s="13" t="n">
        <x:v>14</x:v>
      </x:c>
      <x:c r="I45" s="13" t="n">
        <x:v>369</x:v>
      </x:c>
      <x:c r="J45" s="11" t="n">
        <x:f>E45*I45</x:f>
        <x:v>277119</x:v>
      </x:c>
      <x:c r="K45" s="11" t="n">
        <x:f>E45*SUM(F45:H45)</x:f>
        <x:v>259192.63</x:v>
      </x:c>
      <x:c r="L45" s="11" t="n">
        <x:f>J45-K45</x:f>
        <x:v>17926.369999999995</x:v>
      </x:c>
    </x:row>
    <x:row r="46" ht="23" customHeight="1">
      <x:c r="A46" s="2" t="str">
        <x:v>PR021P</x:v>
      </x:c>
      <x:c r="B46" s="9" t="d">
        <x:v>2026-06-01T00:00:00.000Z</x:v>
      </x:c>
      <x:c r="C46" s="2" t="str">
        <x:v>Transicion</x:v>
      </x:c>
      <x:c r="D46" s="2" t="str">
        <x:v>Presupuesto</x:v>
      </x:c>
      <x:c r="E46" s="12" t="n">
        <x:v>504</x:v>
      </x:c>
      <x:c r="F46" s="13" t="n">
        <x:v>340</x:v>
      </x:c>
      <x:c r="G46" s="13" t="n">
        <x:v>32</x:v>
      </x:c>
      <x:c r="H46" s="13" t="n">
        <x:v>14</x:v>
      </x:c>
      <x:c r="I46" s="13" t="n">
        <x:v>430</x:v>
      </x:c>
      <x:c r="J46" s="11" t="n">
        <x:f>E46*I46</x:f>
        <x:v>216720</x:v>
      </x:c>
      <x:c r="K46" s="11" t="n">
        <x:f>E46*SUM(F46:H46)</x:f>
        <x:v>194544</x:v>
      </x:c>
      <x:c r="L46" s="11" t="n">
        <x:f>J46-K46</x:f>
        <x:v>22176</x:v>
      </x:c>
    </x:row>
    <x:row r="47" ht="23" customHeight="1">
      <x:c r="A47" s="2" t="str">
        <x:v>PR021R</x:v>
      </x:c>
      <x:c r="B47" s="9" t="d">
        <x:v>2026-06-01T00:00:00.000Z</x:v>
      </x:c>
      <x:c r="C47" s="2" t="str">
        <x:v>Transicion</x:v>
      </x:c>
      <x:c r="D47" s="2" t="str">
        <x:v>Real</x:v>
      </x:c>
      <x:c r="E47" s="12" t="n">
        <x:v>484</x:v>
      </x:c>
      <x:c r="F47" s="13" t="n">
        <x:v>350.88</x:v>
      </x:c>
      <x:c r="G47" s="13" t="n">
        <x:v>35</x:v>
      </x:c>
      <x:c r="H47" s="13" t="n">
        <x:v>16</x:v>
      </x:c>
      <x:c r="I47" s="13" t="n">
        <x:v>434.3</x:v>
      </x:c>
      <x:c r="J47" s="11" t="n">
        <x:f>E47*I47</x:f>
        <x:v>210201.2</x:v>
      </x:c>
      <x:c r="K47" s="11" t="n">
        <x:f>E47*SUM(F47:H47)</x:f>
        <x:v>194509.91999999998</x:v>
      </x:c>
      <x:c r="L47" s="11" t="n">
        <x:f>J47-K47</x:f>
        <x:v>15691.280000000028</x:v>
      </x:c>
    </x:row>
    <x:row r="48" ht="23" customHeight="1">
      <x:c r="A48" s="2" t="str">
        <x:v>PR022P</x:v>
      </x:c>
      <x:c r="B48" s="9" t="d">
        <x:v>2026-06-01T00:00:00.000Z</x:v>
      </x:c>
      <x:c r="C48" s="2" t="str">
        <x:v>Cebo</x:v>
      </x:c>
      <x:c r="D48" s="2" t="str">
        <x:v>Presupuesto</x:v>
      </x:c>
      <x:c r="E48" s="12" t="n">
        <x:v>1792</x:v>
      </x:c>
      <x:c r="F48" s="13" t="n">
        <x:v>255</x:v>
      </x:c>
      <x:c r="G48" s="13" t="n">
        <x:v>26</x:v>
      </x:c>
      <x:c r="H48" s="13" t="n">
        <x:v>12</x:v>
      </x:c>
      <x:c r="I48" s="13" t="n">
        <x:v>340</x:v>
      </x:c>
      <x:c r="J48" s="11" t="n">
        <x:f>E48*I48</x:f>
        <x:v>609280</x:v>
      </x:c>
      <x:c r="K48" s="11" t="n">
        <x:f>E48*SUM(F48:H48)</x:f>
        <x:v>525056</x:v>
      </x:c>
      <x:c r="L48" s="11" t="n">
        <x:f>J48-K48</x:f>
        <x:v>84224</x:v>
      </x:c>
    </x:row>
    <x:row r="49" ht="23" customHeight="1">
      <x:c r="A49" s="2" t="str">
        <x:v>PR022R</x:v>
      </x:c>
      <x:c r="B49" s="9" t="d">
        <x:v>2026-06-01T00:00:00.000Z</x:v>
      </x:c>
      <x:c r="C49" s="2" t="str">
        <x:v>Cebo</x:v>
      </x:c>
      <x:c r="D49" s="2" t="str">
        <x:v>Real</x:v>
      </x:c>
      <x:c r="E49" s="12" t="n">
        <x:v>1846</x:v>
      </x:c>
      <x:c r="F49" s="13" t="n">
        <x:v>266.22</x:v>
      </x:c>
      <x:c r="G49" s="13" t="n">
        <x:v>28</x:v>
      </x:c>
      <x:c r="H49" s="13" t="n">
        <x:v>12</x:v>
      </x:c>
      <x:c r="I49" s="13" t="n">
        <x:v>336.6</x:v>
      </x:c>
      <x:c r="J49" s="11" t="n">
        <x:f>E49*I49</x:f>
        <x:v>621363.6000000001</x:v>
      </x:c>
      <x:c r="K49" s="11" t="n">
        <x:f>E49*SUM(F49:H49)</x:f>
        <x:v>565282.12</x:v>
      </x:c>
      <x:c r="L49" s="11" t="n">
        <x:f>J49-K49</x:f>
        <x:v>56081.4800000001</x:v>
      </x:c>
    </x:row>
    <x:row r="50" ht="23" customHeight="1">
      <x:c r="A50" s="2" t="str">
        <x:v>PR023P</x:v>
      </x:c>
      <x:c r="B50" s="9" t="d">
        <x:v>2026-06-01T00:00:00.000Z</x:v>
      </x:c>
      <x:c r="C50" s="2" t="str">
        <x:v>Gestacion</x:v>
      </x:c>
      <x:c r="D50" s="2" t="str">
        <x:v>Presupuesto</x:v>
      </x:c>
      <x:c r="E50" s="12" t="n">
        <x:v>1008</x:v>
      </x:c>
      <x:c r="F50" s="13" t="n">
        <x:v>240</x:v>
      </x:c>
      <x:c r="G50" s="13" t="n">
        <x:v>24</x:v>
      </x:c>
      <x:c r="H50" s="13" t="n">
        <x:v>11</x:v>
      </x:c>
      <x:c r="I50" s="13" t="n">
        <x:v>320</x:v>
      </x:c>
      <x:c r="J50" s="11" t="n">
        <x:f>E50*I50</x:f>
        <x:v>322560</x:v>
      </x:c>
      <x:c r="K50" s="11" t="n">
        <x:f>E50*SUM(F50:H50)</x:f>
        <x:v>277200</x:v>
      </x:c>
      <x:c r="L50" s="11" t="n">
        <x:f>J50-K50</x:f>
        <x:v>45360</x:v>
      </x:c>
    </x:row>
    <x:row r="51" ht="23" customHeight="1">
      <x:c r="A51" s="2" t="str">
        <x:v>PR023R</x:v>
      </x:c>
      <x:c r="B51" s="9" t="d">
        <x:v>2026-06-01T00:00:00.000Z</x:v>
      </x:c>
      <x:c r="C51" s="2" t="str">
        <x:v>Gestacion</x:v>
      </x:c>
      <x:c r="D51" s="2" t="str">
        <x:v>Real</x:v>
      </x:c>
      <x:c r="E51" s="12" t="n">
        <x:v>1079</x:v>
      </x:c>
      <x:c r="F51" s="13" t="n">
        <x:v>253.44</x:v>
      </x:c>
      <x:c r="G51" s="13" t="n">
        <x:v>23</x:v>
      </x:c>
      <x:c r="H51" s="13" t="n">
        <x:v>12</x:v>
      </x:c>
      <x:c r="I51" s="13" t="n">
        <x:v>320</x:v>
      </x:c>
      <x:c r="J51" s="11" t="n">
        <x:f>E51*I51</x:f>
        <x:v>345280</x:v>
      </x:c>
      <x:c r="K51" s="11" t="n">
        <x:f>E51*SUM(F51:H51)</x:f>
        <x:v>311226.76</x:v>
      </x:c>
      <x:c r="L51" s="11" t="n">
        <x:f>J51-K51</x:f>
        <x:v>34053.23999999999</x:v>
      </x:c>
    </x:row>
    <x:row r="52" ht="23" customHeight="1">
      <x:c r="A52" s="2" t="str">
        <x:v>PR024P</x:v>
      </x:c>
      <x:c r="B52" s="9" t="d">
        <x:v>2026-06-01T00:00:00.000Z</x:v>
      </x:c>
      <x:c r="C52" s="2" t="str">
        <x:v>Lactacion</x:v>
      </x:c>
      <x:c r="D52" s="2" t="str">
        <x:v>Presupuesto</x:v>
      </x:c>
      <x:c r="E52" s="12" t="n">
        <x:v>728</x:v>
      </x:c>
      <x:c r="F52" s="13" t="n">
        <x:v>290</x:v>
      </x:c>
      <x:c r="G52" s="13" t="n">
        <x:v>28</x:v>
      </x:c>
      <x:c r="H52" s="13" t="n">
        <x:v>13</x:v>
      </x:c>
      <x:c r="I52" s="13" t="n">
        <x:v>370</x:v>
      </x:c>
      <x:c r="J52" s="11" t="n">
        <x:f>E52*I52</x:f>
        <x:v>269360</x:v>
      </x:c>
      <x:c r="K52" s="11" t="n">
        <x:f>E52*SUM(F52:H52)</x:f>
        <x:v>240968</x:v>
      </x:c>
      <x:c r="L52" s="11" t="n">
        <x:f>J52-K52</x:f>
        <x:v>28392</x:v>
      </x:c>
    </x:row>
    <x:row r="53" ht="23" customHeight="1">
      <x:c r="A53" s="2" t="str">
        <x:v>PR024R</x:v>
      </x:c>
      <x:c r="B53" s="9" t="d">
        <x:v>2026-06-01T00:00:00.000Z</x:v>
      </x:c>
      <x:c r="C53" s="2" t="str">
        <x:v>Lactacion</x:v>
      </x:c>
      <x:c r="D53" s="2" t="str">
        <x:v>Real</x:v>
      </x:c>
      <x:c r="E53" s="12" t="n">
        <x:v>713</x:v>
      </x:c>
      <x:c r="F53" s="13" t="n">
        <x:v>295.8</x:v>
      </x:c>
      <x:c r="G53" s="13" t="n">
        <x:v>31</x:v>
      </x:c>
      <x:c r="H53" s="13" t="n">
        <x:v>15</x:v>
      </x:c>
      <x:c r="I53" s="13" t="n">
        <x:v>373.7</x:v>
      </x:c>
      <x:c r="J53" s="11" t="n">
        <x:f>E53*I53</x:f>
        <x:v>266448.1</x:v>
      </x:c>
      <x:c r="K53" s="11" t="n">
        <x:f>E53*SUM(F53:H53)</x:f>
        <x:v>243703.4</x:v>
      </x:c>
      <x:c r="L53" s="11" t="n">
        <x:f>J53-K53</x:f>
        <x:v>22744.699999999983</x:v>
      </x:c>
    </x:row>
    <x:row r="54" ht="23" customHeight="1">
      <x:c r="A54" s="2" t="str">
        <x:v>PR025P</x:v>
      </x:c>
      <x:c r="B54" s="9" t="d">
        <x:v>2026-07-01T00:00:00.000Z</x:v>
      </x:c>
      <x:c r="C54" s="2" t="str">
        <x:v>Transicion</x:v>
      </x:c>
      <x:c r="D54" s="2" t="str">
        <x:v>Presupuesto</x:v>
      </x:c>
      <x:c r="E54" s="12" t="n">
        <x:v>477</x:v>
      </x:c>
      <x:c r="F54" s="13" t="n">
        <x:v>342</x:v>
      </x:c>
      <x:c r="G54" s="13" t="n">
        <x:v>32</x:v>
      </x:c>
      <x:c r="H54" s="13" t="n">
        <x:v>14</x:v>
      </x:c>
      <x:c r="I54" s="13" t="n">
        <x:v>431</x:v>
      </x:c>
      <x:c r="J54" s="11" t="n">
        <x:f>E54*I54</x:f>
        <x:v>205587</x:v>
      </x:c>
      <x:c r="K54" s="11" t="n">
        <x:f>E54*SUM(F54:H54)</x:f>
        <x:v>185076</x:v>
      </x:c>
      <x:c r="L54" s="11" t="n">
        <x:f>J54-K54</x:f>
        <x:v>20511</x:v>
      </x:c>
    </x:row>
    <x:row r="55" ht="23" customHeight="1">
      <x:c r="A55" s="2" t="str">
        <x:v>PR025R</x:v>
      </x:c>
      <x:c r="B55" s="9" t="d">
        <x:v>2026-07-01T00:00:00.000Z</x:v>
      </x:c>
      <x:c r="C55" s="2" t="str">
        <x:v>Transicion</x:v>
      </x:c>
      <x:c r="D55" s="2" t="str">
        <x:v>Real</x:v>
      </x:c>
      <x:c r="E55" s="12" t="n">
        <x:v>491</x:v>
      </x:c>
      <x:c r="F55" s="13" t="n">
        <x:v>357.05</x:v>
      </x:c>
      <x:c r="G55" s="13" t="n">
        <x:v>34</x:v>
      </x:c>
      <x:c r="H55" s="13" t="n">
        <x:v>14</x:v>
      </x:c>
      <x:c r="I55" s="13" t="n">
        <x:v>426.69</x:v>
      </x:c>
      <x:c r="J55" s="11" t="n">
        <x:f>E55*I55</x:f>
        <x:v>209504.79</x:v>
      </x:c>
      <x:c r="K55" s="11" t="n">
        <x:f>E55*SUM(F55:H55)</x:f>
        <x:v>198879.55000000002</x:v>
      </x:c>
      <x:c r="L55" s="11" t="n">
        <x:f>J55-K55</x:f>
        <x:v>10625.23999999999</x:v>
      </x:c>
    </x:row>
    <x:row r="56" ht="23" customHeight="1">
      <x:c r="A56" s="2" t="str">
        <x:v>PR026P</x:v>
      </x:c>
      <x:c r="B56" s="9" t="d">
        <x:v>2026-07-01T00:00:00.000Z</x:v>
      </x:c>
      <x:c r="C56" s="2" t="str">
        <x:v>Cebo</x:v>
      </x:c>
      <x:c r="D56" s="2" t="str">
        <x:v>Presupuesto</x:v>
      </x:c>
      <x:c r="E56" s="12" t="n">
        <x:v>1696</x:v>
      </x:c>
      <x:c r="F56" s="13" t="n">
        <x:v>257</x:v>
      </x:c>
      <x:c r="G56" s="13" t="n">
        <x:v>26</x:v>
      </x:c>
      <x:c r="H56" s="13" t="n">
        <x:v>12</x:v>
      </x:c>
      <x:c r="I56" s="13" t="n">
        <x:v>341</x:v>
      </x:c>
      <x:c r="J56" s="11" t="n">
        <x:f>E56*I56</x:f>
        <x:v>578336</x:v>
      </x:c>
      <x:c r="K56" s="11" t="n">
        <x:f>E56*SUM(F56:H56)</x:f>
        <x:v>500320</x:v>
      </x:c>
      <x:c r="L56" s="11" t="n">
        <x:f>J56-K56</x:f>
        <x:v>78016</x:v>
      </x:c>
    </x:row>
    <x:row r="57" ht="23" customHeight="1">
      <x:c r="A57" s="2" t="str">
        <x:v>PR026R</x:v>
      </x:c>
      <x:c r="B57" s="9" t="d">
        <x:v>2026-07-01T00:00:00.000Z</x:v>
      </x:c>
      <x:c r="C57" s="2" t="str">
        <x:v>Cebo</x:v>
      </x:c>
      <x:c r="D57" s="2" t="str">
        <x:v>Real</x:v>
      </x:c>
      <x:c r="E57" s="12" t="n">
        <x:v>1815</x:v>
      </x:c>
      <x:c r="F57" s="13" t="n">
        <x:v>271.39</x:v>
      </x:c>
      <x:c r="G57" s="13" t="n">
        <x:v>25</x:v>
      </x:c>
      <x:c r="H57" s="13" t="n">
        <x:v>13</x:v>
      </x:c>
      <x:c r="I57" s="13" t="n">
        <x:v>341</x:v>
      </x:c>
      <x:c r="J57" s="11" t="n">
        <x:f>E57*I57</x:f>
        <x:v>618915</x:v>
      </x:c>
      <x:c r="K57" s="11" t="n">
        <x:f>E57*SUM(F57:H57)</x:f>
        <x:v>561542.85</x:v>
      </x:c>
      <x:c r="L57" s="11" t="n">
        <x:f>J57-K57</x:f>
        <x:v>57372.15000000002</x:v>
      </x:c>
    </x:row>
    <x:row r="58" ht="23" customHeight="1">
      <x:c r="A58" s="2" t="str">
        <x:v>PR027P</x:v>
      </x:c>
      <x:c r="B58" s="9" t="d">
        <x:v>2026-07-01T00:00:00.000Z</x:v>
      </x:c>
      <x:c r="C58" s="2" t="str">
        <x:v>Gestacion</x:v>
      </x:c>
      <x:c r="D58" s="2" t="str">
        <x:v>Presupuesto</x:v>
      </x:c>
      <x:c r="E58" s="12" t="n">
        <x:v>954</x:v>
      </x:c>
      <x:c r="F58" s="13" t="n">
        <x:v>242</x:v>
      </x:c>
      <x:c r="G58" s="13" t="n">
        <x:v>24</x:v>
      </x:c>
      <x:c r="H58" s="13" t="n">
        <x:v>11</x:v>
      </x:c>
      <x:c r="I58" s="13" t="n">
        <x:v>321</x:v>
      </x:c>
      <x:c r="J58" s="11" t="n">
        <x:f>E58*I58</x:f>
        <x:v>306234</x:v>
      </x:c>
      <x:c r="K58" s="11" t="n">
        <x:f>E58*SUM(F58:H58)</x:f>
        <x:v>264258</x:v>
      </x:c>
      <x:c r="L58" s="11" t="n">
        <x:f>J58-K58</x:f>
        <x:v>41976</x:v>
      </x:c>
    </x:row>
    <x:row r="59" ht="23" customHeight="1">
      <x:c r="A59" s="2" t="str">
        <x:v>PR027R</x:v>
      </x:c>
      <x:c r="B59" s="9" t="d">
        <x:v>2026-07-01T00:00:00.000Z</x:v>
      </x:c>
      <x:c r="C59" s="2" t="str">
        <x:v>Gestacion</x:v>
      </x:c>
      <x:c r="D59" s="2" t="str">
        <x:v>Real</x:v>
      </x:c>
      <x:c r="E59" s="12" t="n">
        <x:v>935</x:v>
      </x:c>
      <x:c r="F59" s="13" t="n">
        <x:v>246.84</x:v>
      </x:c>
      <x:c r="G59" s="13" t="n">
        <x:v>27</x:v>
      </x:c>
      <x:c r="H59" s="13" t="n">
        <x:v>13</x:v>
      </x:c>
      <x:c r="I59" s="13" t="n">
        <x:v>324.21</x:v>
      </x:c>
      <x:c r="J59" s="11" t="n">
        <x:f>E59*I59</x:f>
        <x:v>303136.35</x:v>
      </x:c>
      <x:c r="K59" s="11" t="n">
        <x:f>E59*SUM(F59:H59)</x:f>
        <x:v>268195.4</x:v>
      </x:c>
      <x:c r="L59" s="11" t="n">
        <x:f>J59-K59</x:f>
        <x:v>34940.94999999995</x:v>
      </x:c>
    </x:row>
    <x:row r="60" ht="23" customHeight="1">
      <x:c r="A60" s="2" t="str">
        <x:v>PR028P</x:v>
      </x:c>
      <x:c r="B60" s="9" t="d">
        <x:v>2026-07-01T00:00:00.000Z</x:v>
      </x:c>
      <x:c r="C60" s="2" t="str">
        <x:v>Lactacion</x:v>
      </x:c>
      <x:c r="D60" s="2" t="str">
        <x:v>Presupuesto</x:v>
      </x:c>
      <x:c r="E60" s="12" t="n">
        <x:v>689</x:v>
      </x:c>
      <x:c r="F60" s="13" t="n">
        <x:v>292</x:v>
      </x:c>
      <x:c r="G60" s="13" t="n">
        <x:v>28</x:v>
      </x:c>
      <x:c r="H60" s="13" t="n">
        <x:v>13</x:v>
      </x:c>
      <x:c r="I60" s="13" t="n">
        <x:v>371</x:v>
      </x:c>
      <x:c r="J60" s="11" t="n">
        <x:f>E60*I60</x:f>
        <x:v>255619</x:v>
      </x:c>
      <x:c r="K60" s="11" t="n">
        <x:f>E60*SUM(F60:H60)</x:f>
        <x:v>229437</x:v>
      </x:c>
      <x:c r="L60" s="11" t="n">
        <x:f>J60-K60</x:f>
        <x:v>26182</x:v>
      </x:c>
    </x:row>
    <x:row r="61" ht="23" customHeight="1">
      <x:c r="A61" s="2" t="str">
        <x:v>PR028R</x:v>
      </x:c>
      <x:c r="B61" s="9" t="d">
        <x:v>2026-07-01T00:00:00.000Z</x:v>
      </x:c>
      <x:c r="C61" s="2" t="str">
        <x:v>Lactacion</x:v>
      </x:c>
      <x:c r="D61" s="2" t="str">
        <x:v>Real</x:v>
      </x:c>
      <x:c r="E61" s="12" t="n">
        <x:v>723</x:v>
      </x:c>
      <x:c r="F61" s="13" t="n">
        <x:v>301.34</x:v>
      </x:c>
      <x:c r="G61" s="13" t="n">
        <x:v>30</x:v>
      </x:c>
      <x:c r="H61" s="13" t="n">
        <x:v>13</x:v>
      </x:c>
      <x:c r="I61" s="13" t="n">
        <x:v>367.29</x:v>
      </x:c>
      <x:c r="J61" s="11" t="n">
        <x:f>E61*I61</x:f>
        <x:v>265550.67000000004</x:v>
      </x:c>
      <x:c r="K61" s="11" t="n">
        <x:f>E61*SUM(F61:H61)</x:f>
        <x:v>248957.81999999998</x:v>
      </x:c>
      <x:c r="L61" s="11" t="n">
        <x:f>J61-K61</x:f>
        <x:v>16592.850000000064</x:v>
      </x:c>
    </x:row>
    <x:row r="62" ht="23" customHeight="1">
      <x:c r="A62" s="2" t="str">
        <x:v>PR029P</x:v>
      </x:c>
      <x:c r="B62" s="9" t="d">
        <x:v>2026-08-01T00:00:00.000Z</x:v>
      </x:c>
      <x:c r="C62" s="2" t="str">
        <x:v>Transicion</x:v>
      </x:c>
      <x:c r="D62" s="2" t="str">
        <x:v>Presupuesto</x:v>
      </x:c>
      <x:c r="E62" s="12" t="n">
        <x:v>455</x:v>
      </x:c>
      <x:c r="F62" s="13" t="n">
        <x:v>344</x:v>
      </x:c>
      <x:c r="G62" s="13" t="n">
        <x:v>32</x:v>
      </x:c>
      <x:c r="H62" s="13" t="n">
        <x:v>14</x:v>
      </x:c>
      <x:c r="I62" s="13" t="n">
        <x:v>432</x:v>
      </x:c>
      <x:c r="J62" s="11" t="n">
        <x:f>E62*I62</x:f>
        <x:v>196560</x:v>
      </x:c>
      <x:c r="K62" s="11" t="n">
        <x:f>E62*SUM(F62:H62)</x:f>
        <x:v>177450</x:v>
      </x:c>
      <x:c r="L62" s="11" t="n">
        <x:f>J62-K62</x:f>
        <x:v>19110</x:v>
      </x:c>
    </x:row>
    <x:row r="63" ht="23" customHeight="1">
      <x:c r="A63" s="2" t="str">
        <x:v>PR029R</x:v>
      </x:c>
      <x:c r="B63" s="9" t="d">
        <x:v>2026-08-01T00:00:00.000Z</x:v>
      </x:c>
      <x:c r="C63" s="2" t="str">
        <x:v>Transicion</x:v>
      </x:c>
      <x:c r="D63" s="2" t="str">
        <x:v>Real</x:v>
      </x:c>
      <x:c r="E63" s="12" t="n">
        <x:v>487</x:v>
      </x:c>
      <x:c r="F63" s="13" t="n">
        <x:v>363.26</x:v>
      </x:c>
      <x:c r="G63" s="13" t="n">
        <x:v>31</x:v>
      </x:c>
      <x:c r="H63" s="13" t="n">
        <x:v>15</x:v>
      </x:c>
      <x:c r="I63" s="13" t="n">
        <x:v>432</x:v>
      </x:c>
      <x:c r="J63" s="11" t="n">
        <x:f>E63*I63</x:f>
        <x:v>210384</x:v>
      </x:c>
      <x:c r="K63" s="11" t="n">
        <x:f>E63*SUM(F63:H63)</x:f>
        <x:v>199309.62</x:v>
      </x:c>
      <x:c r="L63" s="11" t="n">
        <x:f>J63-K63</x:f>
        <x:v>11074.380000000005</x:v>
      </x:c>
    </x:row>
    <x:row r="64" ht="23" customHeight="1">
      <x:c r="A64" s="2" t="str">
        <x:v>PR030P</x:v>
      </x:c>
      <x:c r="B64" s="9" t="d">
        <x:v>2026-08-01T00:00:00.000Z</x:v>
      </x:c>
      <x:c r="C64" s="2" t="str">
        <x:v>Cebo</x:v>
      </x:c>
      <x:c r="D64" s="2" t="str">
        <x:v>Presupuesto</x:v>
      </x:c>
      <x:c r="E64" s="12" t="n">
        <x:v>1616</x:v>
      </x:c>
      <x:c r="F64" s="13" t="n">
        <x:v>259</x:v>
      </x:c>
      <x:c r="G64" s="13" t="n">
        <x:v>26</x:v>
      </x:c>
      <x:c r="H64" s="13" t="n">
        <x:v>12</x:v>
      </x:c>
      <x:c r="I64" s="13" t="n">
        <x:v>342</x:v>
      </x:c>
      <x:c r="J64" s="11" t="n">
        <x:f>E64*I64</x:f>
        <x:v>552672</x:v>
      </x:c>
      <x:c r="K64" s="11" t="n">
        <x:f>E64*SUM(F64:H64)</x:f>
        <x:v>479952</x:v>
      </x:c>
      <x:c r="L64" s="11" t="n">
        <x:f>J64-K64</x:f>
        <x:v>72720</x:v>
      </x:c>
    </x:row>
    <x:row r="65" ht="23" customHeight="1">
      <x:c r="A65" s="2" t="str">
        <x:v>PR030R</x:v>
      </x:c>
      <x:c r="B65" s="9" t="d">
        <x:v>2026-08-01T00:00:00.000Z</x:v>
      </x:c>
      <x:c r="C65" s="2" t="str">
        <x:v>Cebo</x:v>
      </x:c>
      <x:c r="D65" s="2" t="str">
        <x:v>Real</x:v>
      </x:c>
      <x:c r="E65" s="12" t="n">
        <x:v>1584</x:v>
      </x:c>
      <x:c r="F65" s="13" t="n">
        <x:v>264.18</x:v>
      </x:c>
      <x:c r="G65" s="13" t="n">
        <x:v>29</x:v>
      </x:c>
      <x:c r="H65" s="13" t="n">
        <x:v>14</x:v>
      </x:c>
      <x:c r="I65" s="13" t="n">
        <x:v>345.42</x:v>
      </x:c>
      <x:c r="J65" s="11" t="n">
        <x:f>E65*I65</x:f>
        <x:v>547145.28</x:v>
      </x:c>
      <x:c r="K65" s="11" t="n">
        <x:f>E65*SUM(F65:H65)</x:f>
        <x:v>486573.12</x:v>
      </x:c>
      <x:c r="L65" s="11" t="n">
        <x:f>J65-K65</x:f>
        <x:v>60572.16000000003</x:v>
      </x:c>
    </x:row>
    <x:row r="66" ht="23" customHeight="1">
      <x:c r="A66" s="2" t="str">
        <x:v>PR031P</x:v>
      </x:c>
      <x:c r="B66" s="9" t="d">
        <x:v>2026-08-01T00:00:00.000Z</x:v>
      </x:c>
      <x:c r="C66" s="2" t="str">
        <x:v>Gestacion</x:v>
      </x:c>
      <x:c r="D66" s="2" t="str">
        <x:v>Presupuesto</x:v>
      </x:c>
      <x:c r="E66" s="12" t="n">
        <x:v>909</x:v>
      </x:c>
      <x:c r="F66" s="13" t="n">
        <x:v>244</x:v>
      </x:c>
      <x:c r="G66" s="13" t="n">
        <x:v>24</x:v>
      </x:c>
      <x:c r="H66" s="13" t="n">
        <x:v>11</x:v>
      </x:c>
      <x:c r="I66" s="13" t="n">
        <x:v>322</x:v>
      </x:c>
      <x:c r="J66" s="11" t="n">
        <x:f>E66*I66</x:f>
        <x:v>292698</x:v>
      </x:c>
      <x:c r="K66" s="11" t="n">
        <x:f>E66*SUM(F66:H66)</x:f>
        <x:v>253611</x:v>
      </x:c>
      <x:c r="L66" s="11" t="n">
        <x:f>J66-K66</x:f>
        <x:v>39087</x:v>
      </x:c>
    </x:row>
    <x:row r="67" ht="23" customHeight="1">
      <x:c r="A67" s="2" t="str">
        <x:v>PR031R</x:v>
      </x:c>
      <x:c r="B67" s="9" t="d">
        <x:v>2026-08-01T00:00:00.000Z</x:v>
      </x:c>
      <x:c r="C67" s="2" t="str">
        <x:v>Gestacion</x:v>
      </x:c>
      <x:c r="D67" s="2" t="str">
        <x:v>Real</x:v>
      </x:c>
      <x:c r="E67" s="12" t="n">
        <x:v>954</x:v>
      </x:c>
      <x:c r="F67" s="13" t="n">
        <x:v>251.81</x:v>
      </x:c>
      <x:c r="G67" s="13" t="n">
        <x:v>26</x:v>
      </x:c>
      <x:c r="H67" s="13" t="n">
        <x:v>11</x:v>
      </x:c>
      <x:c r="I67" s="13" t="n">
        <x:v>318.78</x:v>
      </x:c>
      <x:c r="J67" s="11" t="n">
        <x:f>E67*I67</x:f>
        <x:v>304116.12</x:v>
      </x:c>
      <x:c r="K67" s="11" t="n">
        <x:f>E67*SUM(F67:H67)</x:f>
        <x:v>275524.74</x:v>
      </x:c>
      <x:c r="L67" s="11" t="n">
        <x:f>J67-K67</x:f>
        <x:v>28591.380000000005</x:v>
      </x:c>
    </x:row>
    <x:row r="68" ht="23" customHeight="1">
      <x:c r="A68" s="2" t="str">
        <x:v>PR032P</x:v>
      </x:c>
      <x:c r="B68" s="9" t="d">
        <x:v>2026-08-01T00:00:00.000Z</x:v>
      </x:c>
      <x:c r="C68" s="2" t="str">
        <x:v>Lactacion</x:v>
      </x:c>
      <x:c r="D68" s="2" t="str">
        <x:v>Presupuesto</x:v>
      </x:c>
      <x:c r="E68" s="12" t="n">
        <x:v>657</x:v>
      </x:c>
      <x:c r="F68" s="13" t="n">
        <x:v>294</x:v>
      </x:c>
      <x:c r="G68" s="13" t="n">
        <x:v>28</x:v>
      </x:c>
      <x:c r="H68" s="13" t="n">
        <x:v>13</x:v>
      </x:c>
      <x:c r="I68" s="13" t="n">
        <x:v>372</x:v>
      </x:c>
      <x:c r="J68" s="11" t="n">
        <x:f>E68*I68</x:f>
        <x:v>244404</x:v>
      </x:c>
      <x:c r="K68" s="11" t="n">
        <x:f>E68*SUM(F68:H68)</x:f>
        <x:v>220095</x:v>
      </x:c>
      <x:c r="L68" s="11" t="n">
        <x:f>J68-K68</x:f>
        <x:v>24309</x:v>
      </x:c>
    </x:row>
    <x:row r="69" ht="23" customHeight="1">
      <x:c r="A69" s="2" t="str">
        <x:v>PR032R</x:v>
      </x:c>
      <x:c r="B69" s="9" t="d">
        <x:v>2026-08-01T00:00:00.000Z</x:v>
      </x:c>
      <x:c r="C69" s="2" t="str">
        <x:v>Lactacion</x:v>
      </x:c>
      <x:c r="D69" s="2" t="str">
        <x:v>Real</x:v>
      </x:c>
      <x:c r="E69" s="12" t="n">
        <x:v>631</x:v>
      </x:c>
      <x:c r="F69" s="13" t="n">
        <x:v>306.94</x:v>
      </x:c>
      <x:c r="G69" s="13" t="n">
        <x:v>27</x:v>
      </x:c>
      <x:c r="H69" s="13" t="n">
        <x:v>14</x:v>
      </x:c>
      <x:c r="I69" s="13" t="n">
        <x:v>372</x:v>
      </x:c>
      <x:c r="J69" s="11" t="n">
        <x:f>E69*I69</x:f>
        <x:v>234732</x:v>
      </x:c>
      <x:c r="K69" s="11" t="n">
        <x:f>E69*SUM(F69:H69)</x:f>
        <x:v>219550.13999999998</x:v>
      </x:c>
      <x:c r="L69" s="11" t="n">
        <x:f>J69-K69</x:f>
        <x:v>15181.860000000015</x:v>
      </x:c>
    </x:row>
    <x:row r="70" ht="23" customHeight="1">
      <x:c r="A70" s="2" t="str">
        <x:v>PR033P</x:v>
      </x:c>
      <x:c r="B70" s="9" t="d">
        <x:v>2026-09-01T00:00:00.000Z</x:v>
      </x:c>
      <x:c r="C70" s="2" t="str">
        <x:v>Transicion</x:v>
      </x:c>
      <x:c r="D70" s="2" t="str">
        <x:v>Presupuesto</x:v>
      </x:c>
      <x:c r="E70" s="12" t="n">
        <x:v>468</x:v>
      </x:c>
      <x:c r="F70" s="13" t="n">
        <x:v>346</x:v>
      </x:c>
      <x:c r="G70" s="13" t="n">
        <x:v>32</x:v>
      </x:c>
      <x:c r="H70" s="13" t="n">
        <x:v>14</x:v>
      </x:c>
      <x:c r="I70" s="13" t="n">
        <x:v>433</x:v>
      </x:c>
      <x:c r="J70" s="11" t="n">
        <x:f>E70*I70</x:f>
        <x:v>202644</x:v>
      </x:c>
      <x:c r="K70" s="11" t="n">
        <x:f>E70*SUM(F70:H70)</x:f>
        <x:v>183456</x:v>
      </x:c>
      <x:c r="L70" s="11" t="n">
        <x:f>J70-K70</x:f>
        <x:v>19188</x:v>
      </x:c>
    </x:row>
    <x:row r="71" ht="23" customHeight="1">
      <x:c r="A71" s="2" t="str">
        <x:v>PR033R</x:v>
      </x:c>
      <x:c r="B71" s="9" t="d">
        <x:v>2026-09-01T00:00:00.000Z</x:v>
      </x:c>
      <x:c r="C71" s="2" t="str">
        <x:v>Transicion</x:v>
      </x:c>
      <x:c r="D71" s="2" t="str">
        <x:v>Real</x:v>
      </x:c>
      <x:c r="E71" s="12" t="n">
        <x:v>459</x:v>
      </x:c>
      <x:c r="F71" s="13" t="n">
        <x:v>352.92</x:v>
      </x:c>
      <x:c r="G71" s="13" t="n">
        <x:v>35</x:v>
      </x:c>
      <x:c r="H71" s="13" t="n">
        <x:v>16</x:v>
      </x:c>
      <x:c r="I71" s="13" t="n">
        <x:v>437.33</x:v>
      </x:c>
      <x:c r="J71" s="11" t="n">
        <x:f>E71*I71</x:f>
        <x:v>200734.47</x:v>
      </x:c>
      <x:c r="K71" s="11" t="n">
        <x:f>E71*SUM(F71:H71)</x:f>
        <x:v>185399.28</x:v>
      </x:c>
      <x:c r="L71" s="11" t="n">
        <x:f>J71-K71</x:f>
        <x:v>15335.190000000002</x:v>
      </x:c>
    </x:row>
    <x:row r="72" ht="23" customHeight="1">
      <x:c r="A72" s="2" t="str">
        <x:v>PR034P</x:v>
      </x:c>
      <x:c r="B72" s="9" t="d">
        <x:v>2026-09-01T00:00:00.000Z</x:v>
      </x:c>
      <x:c r="C72" s="2" t="str">
        <x:v>Cebo</x:v>
      </x:c>
      <x:c r="D72" s="2" t="str">
        <x:v>Presupuesto</x:v>
      </x:c>
      <x:c r="E72" s="12" t="n">
        <x:v>1664</x:v>
      </x:c>
      <x:c r="F72" s="13" t="n">
        <x:v>261</x:v>
      </x:c>
      <x:c r="G72" s="13" t="n">
        <x:v>26</x:v>
      </x:c>
      <x:c r="H72" s="13" t="n">
        <x:v>12</x:v>
      </x:c>
      <x:c r="I72" s="13" t="n">
        <x:v>343</x:v>
      </x:c>
      <x:c r="J72" s="11" t="n">
        <x:f>E72*I72</x:f>
        <x:v>570752</x:v>
      </x:c>
      <x:c r="K72" s="11" t="n">
        <x:f>E72*SUM(F72:H72)</x:f>
        <x:v>497536</x:v>
      </x:c>
      <x:c r="L72" s="11" t="n">
        <x:f>J72-K72</x:f>
        <x:v>73216</x:v>
      </x:c>
    </x:row>
    <x:row r="73" ht="23" customHeight="1">
      <x:c r="A73" s="2" t="str">
        <x:v>PR034R</x:v>
      </x:c>
      <x:c r="B73" s="9" t="d">
        <x:v>2026-09-01T00:00:00.000Z</x:v>
      </x:c>
      <x:c r="C73" s="2" t="str">
        <x:v>Cebo</x:v>
      </x:c>
      <x:c r="D73" s="2" t="str">
        <x:v>Real</x:v>
      </x:c>
      <x:c r="E73" s="12" t="n">
        <x:v>1747</x:v>
      </x:c>
      <x:c r="F73" s="13" t="n">
        <x:v>269.35</x:v>
      </x:c>
      <x:c r="G73" s="13" t="n">
        <x:v>28</x:v>
      </x:c>
      <x:c r="H73" s="13" t="n">
        <x:v>12</x:v>
      </x:c>
      <x:c r="I73" s="13" t="n">
        <x:v>339.57</x:v>
      </x:c>
      <x:c r="J73" s="11" t="n">
        <x:f>E73*I73</x:f>
        <x:v>593228.79</x:v>
      </x:c>
      <x:c r="K73" s="11" t="n">
        <x:f>E73*SUM(F73:H73)</x:f>
        <x:v>540434.4500000001</x:v>
      </x:c>
      <x:c r="L73" s="11" t="n">
        <x:f>J73-K73</x:f>
        <x:v>52794.33999999997</x:v>
      </x:c>
    </x:row>
    <x:row r="74" ht="23" customHeight="1">
      <x:c r="A74" s="2" t="str">
        <x:v>PR035P</x:v>
      </x:c>
      <x:c r="B74" s="9" t="d">
        <x:v>2026-09-01T00:00:00.000Z</x:v>
      </x:c>
      <x:c r="C74" s="2" t="str">
        <x:v>Gestacion</x:v>
      </x:c>
      <x:c r="D74" s="2" t="str">
        <x:v>Presupuesto</x:v>
      </x:c>
      <x:c r="E74" s="12" t="n">
        <x:v>936</x:v>
      </x:c>
      <x:c r="F74" s="13" t="n">
        <x:v>246</x:v>
      </x:c>
      <x:c r="G74" s="13" t="n">
        <x:v>24</x:v>
      </x:c>
      <x:c r="H74" s="13" t="n">
        <x:v>11</x:v>
      </x:c>
      <x:c r="I74" s="13" t="n">
        <x:v>323</x:v>
      </x:c>
      <x:c r="J74" s="11" t="n">
        <x:f>E74*I74</x:f>
        <x:v>302328</x:v>
      </x:c>
      <x:c r="K74" s="11" t="n">
        <x:f>E74*SUM(F74:H74)</x:f>
        <x:v>263016</x:v>
      </x:c>
      <x:c r="L74" s="11" t="n">
        <x:f>J74-K74</x:f>
        <x:v>39312</x:v>
      </x:c>
    </x:row>
    <x:row r="75" ht="23" customHeight="1">
      <x:c r="A75" s="2" t="str">
        <x:v>PR035R</x:v>
      </x:c>
      <x:c r="B75" s="9" t="d">
        <x:v>2026-09-01T00:00:00.000Z</x:v>
      </x:c>
      <x:c r="C75" s="2" t="str">
        <x:v>Gestacion</x:v>
      </x:c>
      <x:c r="D75" s="2" t="str">
        <x:v>Real</x:v>
      </x:c>
      <x:c r="E75" s="12" t="n">
        <x:v>899</x:v>
      </x:c>
      <x:c r="F75" s="13" t="n">
        <x:v>256.82</x:v>
      </x:c>
      <x:c r="G75" s="13" t="n">
        <x:v>23</x:v>
      </x:c>
      <x:c r="H75" s="13" t="n">
        <x:v>12</x:v>
      </x:c>
      <x:c r="I75" s="13" t="n">
        <x:v>323</x:v>
      </x:c>
      <x:c r="J75" s="11" t="n">
        <x:f>E75*I75</x:f>
        <x:v>290377</x:v>
      </x:c>
      <x:c r="K75" s="11" t="n">
        <x:f>E75*SUM(F75:H75)</x:f>
        <x:v>262346.18</x:v>
      </x:c>
      <x:c r="L75" s="11" t="n">
        <x:f>J75-K75</x:f>
        <x:v>28030.820000000007</x:v>
      </x:c>
    </x:row>
    <x:row r="76" ht="23" customHeight="1">
      <x:c r="A76" s="2" t="str">
        <x:v>PR036P</x:v>
      </x:c>
      <x:c r="B76" s="9" t="d">
        <x:v>2026-09-01T00:00:00.000Z</x:v>
      </x:c>
      <x:c r="C76" s="2" t="str">
        <x:v>Lactacion</x:v>
      </x:c>
      <x:c r="D76" s="2" t="str">
        <x:v>Presupuesto</x:v>
      </x:c>
      <x:c r="E76" s="12" t="n">
        <x:v>676</x:v>
      </x:c>
      <x:c r="F76" s="13" t="n">
        <x:v>296</x:v>
      </x:c>
      <x:c r="G76" s="13" t="n">
        <x:v>28</x:v>
      </x:c>
      <x:c r="H76" s="13" t="n">
        <x:v>13</x:v>
      </x:c>
      <x:c r="I76" s="13" t="n">
        <x:v>373</x:v>
      </x:c>
      <x:c r="J76" s="11" t="n">
        <x:f>E76*I76</x:f>
        <x:v>252148</x:v>
      </x:c>
      <x:c r="K76" s="11" t="n">
        <x:f>E76*SUM(F76:H76)</x:f>
        <x:v>227812</x:v>
      </x:c>
      <x:c r="L76" s="11" t="n">
        <x:f>J76-K76</x:f>
        <x:v>24336</x:v>
      </x:c>
    </x:row>
    <x:row r="77" ht="23" customHeight="1">
      <x:c r="A77" s="2" t="str">
        <x:v>PR036R</x:v>
      </x:c>
      <x:c r="B77" s="9" t="d">
        <x:v>2026-09-01T00:00:00.000Z</x:v>
      </x:c>
      <x:c r="C77" s="2" t="str">
        <x:v>Lactacion</x:v>
      </x:c>
      <x:c r="D77" s="2" t="str">
        <x:v>Real</x:v>
      </x:c>
      <x:c r="E77" s="12" t="n">
        <x:v>696</x:v>
      </x:c>
      <x:c r="F77" s="13" t="n">
        <x:v>312.58</x:v>
      </x:c>
      <x:c r="G77" s="13" t="n">
        <x:v>31</x:v>
      </x:c>
      <x:c r="H77" s="13" t="n">
        <x:v>15</x:v>
      </x:c>
      <x:c r="I77" s="13" t="n">
        <x:v>376.73</x:v>
      </x:c>
      <x:c r="J77" s="11" t="n">
        <x:f>E77*I77</x:f>
        <x:v>262204.08</x:v>
      </x:c>
      <x:c r="K77" s="11" t="n">
        <x:f>E77*SUM(F77:H77)</x:f>
        <x:v>249571.68</x:v>
      </x:c>
      <x:c r="L77" s="11" t="n">
        <x:f>J77-K77</x:f>
        <x:v>12632.400000000023</x:v>
      </x:c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</x:sheetData>
  <x:pageMargins left="0.7" right="0.7" top="0.75" bottom="0.75" header="0.3" footer="0.3"/>
  <x:tableParts count="1">
    <x:tablePart xmlns:r="http://schemas.openxmlformats.org/officeDocument/2006/relationships" r:id="Rb0296547deba469e"/>
  </x:tableParts>
</x:worksheet>
</file>